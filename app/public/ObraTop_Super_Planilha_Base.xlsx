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06136c3ae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002843599b104fc7"/>
    <x:sheet xmlns:r="http://schemas.openxmlformats.org/officeDocument/2006/relationships" name="OBRAS" sheetId="2" r:id="Re51339e3cde34d28"/>
    <x:sheet xmlns:r="http://schemas.openxmlformats.org/officeDocument/2006/relationships" name="EQUIPE_USUARIOS" sheetId="3" r:id="R8122629badd04a54"/>
    <x:sheet xmlns:r="http://schemas.openxmlformats.org/officeDocument/2006/relationships" name="FORNECEDORES" sheetId="4" r:id="Rf7a0c81456cd4ec4"/>
    <x:sheet xmlns:r="http://schemas.openxmlformats.org/officeDocument/2006/relationships" name="ORCAMENTO" sheetId="5" r:id="R222a6eda708f46ec"/>
    <x:sheet xmlns:r="http://schemas.openxmlformats.org/officeDocument/2006/relationships" name="CRONOGRAMA" sheetId="6" r:id="R750c2e4ccfdb481a"/>
    <x:sheet xmlns:r="http://schemas.openxmlformats.org/officeDocument/2006/relationships" name="MEDICOES" sheetId="7" r:id="R05a1075a40594e89"/>
    <x:sheet xmlns:r="http://schemas.openxmlformats.org/officeDocument/2006/relationships" name="EQUIPAMENTOS" sheetId="8" r:id="Rdce425319af84f8a"/>
    <x:sheet xmlns:r="http://schemas.openxmlformats.org/officeDocument/2006/relationships" name="COMPRAS" sheetId="9" r:id="Rc19223827c6c4a24"/>
    <x:sheet xmlns:r="http://schemas.openxmlformats.org/officeDocument/2006/relationships" name="FINANCEIRO" sheetId="10" r:id="Rb875c9ba7de342f8"/>
    <x:sheet xmlns:r="http://schemas.openxmlformats.org/officeDocument/2006/relationships" name="CONTRATOS" sheetId="11" r:id="R387fb3bf50994ead"/>
    <x:sheet xmlns:r="http://schemas.openxmlformats.org/officeDocument/2006/relationships" name="PESSOAL" sheetId="12" r:id="Rc3be61a9e53d4baf"/>
    <x:sheet xmlns:r="http://schemas.openxmlformats.org/officeDocument/2006/relationships" name="QUALIDADE" sheetId="13" r:id="R68d2beb598124ea6"/>
    <x:sheet xmlns:r="http://schemas.openxmlformats.org/officeDocument/2006/relationships" name="SEGURANCA" sheetId="14" r:id="Rd238f9a2d210427a"/>
    <x:sheet xmlns:r="http://schemas.openxmlformats.org/officeDocument/2006/relationships" name="DOCUMENTOS" sheetId="15" r:id="Rb7bc58c541d946b9"/>
    <x:sheet xmlns:r="http://schemas.openxmlformats.org/officeDocument/2006/relationships" name="AUDITORIA" sheetId="16" r:id="Ra785cfea67f54290"/>
    <x:sheet xmlns:r="http://schemas.openxmlformats.org/officeDocument/2006/relationships" name="DASHBOARD" sheetId="17" r:id="R67d59d3d296a48a7"/>
    <x:sheet xmlns:r="http://schemas.openxmlformats.org/officeDocument/2006/relationships" name="ESTOQUE" sheetId="18" r:id="Ra87610f0b83a44ef"/>
    <x:sheet xmlns:r="http://schemas.openxmlformats.org/officeDocument/2006/relationships" name="EAP" sheetId="19" r:id="R1f2eb083abb3491b"/>
    <x:sheet xmlns:r="http://schemas.openxmlformats.org/officeDocument/2006/relationships" name="EAP_GRAF_OBRA1" sheetId="20" r:id="R7ea6c179930848da"/>
    <x:sheet xmlns:r="http://schemas.openxmlformats.org/officeDocument/2006/relationships" name="EAP_GRAF_OBRA2" sheetId="21" r:id="R8b67ddacc3224200"/>
    <x:sheet xmlns:r="http://schemas.openxmlformats.org/officeDocument/2006/relationships" name="DICIONARIO_EAP" sheetId="22" r:id="R6e3e47765fd1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dd/mm/yyyy"/>
    <x:numFmt numFmtId="202" formatCode="0.0"/>
    <x:numFmt numFmtId="203" formatCode="0&quot;%&quot;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3B66"/>
      <x:name val="Carlito"/>
    </x:font>
    <x:font>
      <x:b/>
      <x:sz val="11"/>
      <x:color rgb="FF216E39"/>
      <x:name val="Carlito"/>
    </x:font>
    <x:font>
      <x:b/>
      <x:sz val="11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0F172A"/>
      <x:name val="Carlito"/>
    </x:font>
    <x:font>
      <x:b/>
      <x:sz val="13"/>
      <x:color rgb="FFFFFFFF"/>
      <x:name val="Carlito"/>
    </x:font>
    <x:font>
      <x:b/>
      <x:sz val="9"/>
      <x:color rgb="FF0F4C81"/>
      <x:name val="Carlito"/>
    </x:font>
    <x:font>
      <x:b/>
      <x:sz val="16"/>
      <x:color rgb="FF0F4C81"/>
      <x:name val="Carlito"/>
    </x:font>
    <x:font>
      <x:b/>
      <x:sz val="11"/>
      <x:color rgb="FF0F4C8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6CBD"/>
      </x:patternFill>
    </x:fill>
    <x:fill>
      <x:patternFill patternType="solid">
        <x:fgColor rgb="FFE8F2FB"/>
      </x:patternFill>
    </x:fill>
    <x:fill>
      <x:patternFill patternType="solid">
        <x:fgColor rgb="FFEAF4E8"/>
      </x:patternFill>
    </x:fill>
    <x:fill>
      <x:patternFill patternType="solid">
        <x:fgColor rgb="FF0F6CBD"/>
      </x:patternFill>
    </x:fill>
    <x:fill>
      <x:patternFill patternType="solid">
        <x:fgColor rgb="FF0F4C81"/>
      </x:patternFill>
    </x:fill>
    <x:fill>
      <x:patternFill patternType="solid">
        <x:fgColor rgb="FFDCEAF7"/>
      </x:patternFill>
    </x:fill>
    <x:fill>
      <x:patternFill patternType="solid">
        <x:fgColor rgb="FF1F6FB2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DC2626"/>
      </x:patternFill>
    </x:fill>
    <x:fill>
      <x:patternFill patternType="solid">
        <x:fgColor rgb="FFDDEBFA"/>
      </x:patternFill>
    </x:fill>
    <x:fill>
      <x:patternFill patternType="solid">
        <x:fgColor rgb="FFF97316"/>
      </x:patternFill>
    </x:fill>
    <x:fill>
      <x:patternFill patternType="solid">
        <x:fgColor rgb="FFEAF2F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203" fontId="7" fillId="0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4" xfId="0" applyNumberFormat="1" applyFont="1" applyFill="1" applyBorder="1"/>
    <x:xf numFmtId="0" fontId="9" fillId="10" borderId="5" xfId="0" applyNumberFormat="1" applyFont="1" applyFill="1" applyBorder="1"/>
    <x:xf numFmtId="0" fontId="9" fillId="10" xfId="0" applyNumberFormat="1" applyFont="1" applyFill="1" applyBorder="0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9" xfId="0" applyNumberFormat="1" applyFont="1" applyFill="1" applyBorder="1"/>
    <x:xf numFmtId="0" fontId="9" fillId="10" borderId="2" xfId="0" applyNumberFormat="1" applyFont="1" applyFill="1" applyBorder="1" applyAlignment="1">
      <x:alignment horizontal="center"/>
    </x:xf>
    <x:xf numFmtId="0" fontId="9" fillId="10" borderId="3" xfId="0" applyNumberFormat="1" applyFont="1" applyFill="1" applyBorder="1" applyAlignment="1">
      <x:alignment horizontal="center"/>
    </x:xf>
    <x:xf numFmtId="0" fontId="9" fillId="10" borderId="4" xfId="0" applyNumberFormat="1" applyFont="1" applyFill="1" applyBorder="1" applyAlignment="1">
      <x:alignment horizontal="center"/>
    </x:xf>
    <x:xf numFmtId="0" fontId="9" fillId="10" borderId="5" xfId="0" applyNumberFormat="1" applyFont="1" applyFill="1" applyBorder="1" applyAlignment="1">
      <x:alignment horizontal="center"/>
    </x:xf>
    <x:xf numFmtId="0" fontId="9" fillId="10" xfId="0" applyNumberFormat="1" applyFont="1" applyFill="1" applyBorder="0" applyAlignment="1">
      <x:alignment horizontal="center"/>
    </x:xf>
    <x:xf numFmtId="0" fontId="9" fillId="10" borderId="6" xfId="0" applyNumberFormat="1" applyFont="1" applyFill="1" applyBorder="1" applyAlignment="1">
      <x:alignment horizontal="center"/>
    </x:xf>
    <x:xf numFmtId="0" fontId="9" fillId="10" borderId="7" xfId="0" applyNumberFormat="1" applyFont="1" applyFill="1" applyBorder="1" applyAlignment="1">
      <x:alignment horizontal="center"/>
    </x:xf>
    <x:xf numFmtId="0" fontId="9" fillId="10" borderId="8" xfId="0" applyNumberFormat="1" applyFont="1" applyFill="1" applyBorder="1" applyAlignment="1">
      <x:alignment horizontal="center"/>
    </x:xf>
    <x:xf numFmtId="0" fontId="9" fillId="10" borderId="9" xfId="0" applyNumberFormat="1" applyFont="1" applyFill="1" applyBorder="1" applyAlignment="1">
      <x:alignment horizontal="center"/>
    </x:xf>
    <x:xf numFmtId="0" fontId="9" fillId="10" borderId="2" xfId="0" applyNumberFormat="1" applyFont="1" applyFill="1" applyBorder="1" applyAlignment="1">
      <x:alignment horizontal="center" vertical="center"/>
    </x:xf>
    <x:xf numFmtId="0" fontId="9" fillId="10" borderId="3" xfId="0" applyNumberFormat="1" applyFont="1" applyFill="1" applyBorder="1" applyAlignment="1">
      <x:alignment horizontal="center" vertical="center"/>
    </x:xf>
    <x:xf numFmtId="0" fontId="9" fillId="10" borderId="4" xfId="0" applyNumberFormat="1" applyFont="1" applyFill="1" applyBorder="1" applyAlignment="1">
      <x:alignment horizontal="center" vertical="center"/>
    </x:xf>
    <x:xf numFmtId="0" fontId="9" fillId="10" borderId="5" xfId="0" applyNumberFormat="1" applyFont="1" applyFill="1" applyBorder="1" applyAlignment="1">
      <x:alignment horizontal="center" vertical="center"/>
    </x:xf>
    <x:xf numFmtId="0" fontId="9" fillId="10" xfId="0" applyNumberFormat="1" applyFont="1" applyFill="1" applyBorder="0" applyAlignment="1">
      <x:alignment horizontal="center" vertical="center"/>
    </x:xf>
    <x:xf numFmtId="0" fontId="9" fillId="10" borderId="6" xfId="0" applyNumberFormat="1" applyFont="1" applyFill="1" applyBorder="1" applyAlignment="1">
      <x:alignment horizontal="center" vertical="center"/>
    </x:xf>
    <x:xf numFmtId="0" fontId="9" fillId="10" borderId="7" xfId="0" applyNumberFormat="1" applyFont="1" applyFill="1" applyBorder="1" applyAlignment="1">
      <x:alignment horizontal="center" vertical="center"/>
    </x:xf>
    <x:xf numFmtId="0" fontId="9" fillId="10" borderId="8" xfId="0" applyNumberFormat="1" applyFont="1" applyFill="1" applyBorder="1" applyAlignment="1">
      <x:alignment horizontal="center" vertical="center"/>
    </x:xf>
    <x:xf numFmtId="0" fontId="9" fillId="10" borderId="9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horizont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horizontal="center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horizontal="left" vertical="center" wrapText="1"/>
    </x:xf>
    <x:xf numFmtId="0" fontId="12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0F4C81"/>
      </x:font>
      <x:fill>
        <x:patternFill patternType="solid">
          <x:bgColor rgb="FFD9EAF7"/>
        </x:patternFill>
      </x:fill>
    </x:dxf>
    <x:dxf>
      <x:font>
        <x:b/>
        <x:color rgb="FF166534"/>
      </x:font>
      <x:fill>
        <x:patternFill patternType="solid">
          <x:bgColor rgb="FFE9F5E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7fba7b89d4cf3" /><Relationship Type="http://schemas.openxmlformats.org/officeDocument/2006/relationships/theme" Target="/xl/theme/theme1.xml" Id="Ra6806eee45044fdb" /><Relationship Type="http://schemas.openxmlformats.org/officeDocument/2006/relationships/sharedStrings" Target="/xl/sharedStrings.xml" Id="R4ebb7ed076294726" /><Relationship Type="http://schemas.openxmlformats.org/officeDocument/2006/relationships/worksheet" Target="/xl/worksheets/sheet1.xml" Id="R002843599b104fc7" /><Relationship Type="http://schemas.openxmlformats.org/officeDocument/2006/relationships/worksheet" Target="/xl/worksheets/sheet2.xml" Id="Re51339e3cde34d28" /><Relationship Type="http://schemas.openxmlformats.org/officeDocument/2006/relationships/worksheet" Target="/xl/worksheets/sheet3.xml" Id="R8122629badd04a54" /><Relationship Type="http://schemas.openxmlformats.org/officeDocument/2006/relationships/worksheet" Target="/xl/worksheets/sheet4.xml" Id="Rf7a0c81456cd4ec4" /><Relationship Type="http://schemas.openxmlformats.org/officeDocument/2006/relationships/worksheet" Target="/xl/worksheets/sheet5.xml" Id="R222a6eda708f46ec" /><Relationship Type="http://schemas.openxmlformats.org/officeDocument/2006/relationships/worksheet" Target="/xl/worksheets/sheet6.xml" Id="R750c2e4ccfdb481a" /><Relationship Type="http://schemas.openxmlformats.org/officeDocument/2006/relationships/worksheet" Target="/xl/worksheets/sheet7.xml" Id="R05a1075a40594e89" /><Relationship Type="http://schemas.openxmlformats.org/officeDocument/2006/relationships/worksheet" Target="/xl/worksheets/sheet8.xml" Id="Rdce425319af84f8a" /><Relationship Type="http://schemas.openxmlformats.org/officeDocument/2006/relationships/worksheet" Target="/xl/worksheets/sheet9.xml" Id="Rc19223827c6c4a24" /><Relationship Type="http://schemas.openxmlformats.org/officeDocument/2006/relationships/worksheet" Target="/xl/worksheets/sheet10.xml" Id="Rb875c9ba7de342f8" /><Relationship Type="http://schemas.openxmlformats.org/officeDocument/2006/relationships/worksheet" Target="/xl/worksheets/sheet11.xml" Id="R387fb3bf50994ead" /><Relationship Type="http://schemas.openxmlformats.org/officeDocument/2006/relationships/worksheet" Target="/xl/worksheets/sheet12.xml" Id="Rc3be61a9e53d4baf" /><Relationship Type="http://schemas.openxmlformats.org/officeDocument/2006/relationships/worksheet" Target="/xl/worksheets/sheet13.xml" Id="R68d2beb598124ea6" /><Relationship Type="http://schemas.openxmlformats.org/officeDocument/2006/relationships/worksheet" Target="/xl/worksheets/sheet14.xml" Id="Rd238f9a2d210427a" /><Relationship Type="http://schemas.openxmlformats.org/officeDocument/2006/relationships/worksheet" Target="/xl/worksheets/sheet15.xml" Id="Rb7bc58c541d946b9" /><Relationship Type="http://schemas.openxmlformats.org/officeDocument/2006/relationships/worksheet" Target="/xl/worksheets/sheet16.xml" Id="Ra785cfea67f54290" /><Relationship Type="http://schemas.openxmlformats.org/officeDocument/2006/relationships/worksheet" Target="/xl/worksheets/sheet17.xml" Id="R67d59d3d296a48a7" /><Relationship Type="http://schemas.openxmlformats.org/officeDocument/2006/relationships/worksheet" Target="/xl/worksheets/sheet18.xml" Id="Ra87610f0b83a44ef" /><Relationship Type="http://schemas.openxmlformats.org/officeDocument/2006/relationships/worksheet" Target="/xl/worksheets/sheet19.xml" Id="R1f2eb083abb3491b" /><Relationship Type="http://schemas.openxmlformats.org/officeDocument/2006/relationships/worksheet" Target="/xl/worksheets/sheet20.xml" Id="R7ea6c179930848da" /><Relationship Type="http://schemas.openxmlformats.org/officeDocument/2006/relationships/worksheet" Target="/xl/worksheets/sheet21.xml" Id="R8b67ddacc3224200" /><Relationship Type="http://schemas.openxmlformats.org/officeDocument/2006/relationships/worksheet" Target="/xl/worksheets/sheet22.xml" Id="R6e3e47765fd142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6d176f6f474a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Valor contratado por obra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Contratado</c:v>
          </c:tx>
          <c:cat>
            <c:strRef>
              <c:f>'DASHBOARD'!$D$5:$D$6</c:f>
              <c:strCache>
                <c:ptCount val="0"/>
              </c:strCache>
            </c:strRef>
          </c:cat>
          <c:val>
            <c:numRef>
              <c:f>'DASHBOARD'!$E$5:$E$6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6d176f6f474a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Obras" displayName="TblObras" ref="A1:H3" headerRowCount="1" totalsRowCount="0" totalsRowShown="0">
  <x:tableColumns count="8">
    <x:tableColumn id="1" name="Nome da obra"/>
    <x:tableColumn id="2" name="Cliente"/>
    <x:tableColumn id="3" name="Endereço"/>
    <x:tableColumn id="4" name="Início"/>
    <x:tableColumn id="5" name="Término previsto"/>
    <x:tableColumn id="6" name="Valor contratado"/>
    <x:tableColumn id="7" name="Status"/>
    <x:tableColumn id="8" name="Progresso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Usuarios" displayName="TblUsuarios" ref="A1:G4" headerRowCount="1" totalsRowCount="0" totalsRowShown="0">
  <x:tableColumns count="7">
    <x:tableColumn id="1" name="Nome"/>
    <x:tableColumn id="2" name="E-mail"/>
    <x:tableColumn id="3" name="Perfil"/>
    <x:tableColumn id="4" name="Obra atribuída"/>
    <x:tableColumn id="5" name="Senha provisória EXEMPLO"/>
    <x:tableColumn id="6" name="Status"/>
    <x:tableColumn id="7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Fornecedores" displayName="TblFornecedores" ref="A1:F7" headerRowCount="1" totalsRowCount="0" totalsRowShown="0">
  <x:tableColumns count="6">
    <x:tableColumn id="1" name="Nome ou razão social"/>
    <x:tableColumn id="2" name="CNPJ"/>
    <x:tableColumn id="3" name="Telefone"/>
    <x:tableColumn id="4" name="E-mail"/>
    <x:tableColumn id="5" name="Categoria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Orcamento" displayName="TblOrcamento" ref="A1:H15" headerRowCount="1" totalsRowCount="0" totalsRowShown="0">
  <x:tableColumns count="8">
    <x:tableColumn id="1" name="Obra"/>
    <x:tableColumn id="2" name="Categoria"/>
    <x:tableColumn id="3" name="Serviço ou material"/>
    <x:tableColumn id="4" name="Unidade"/>
    <x:tableColumn id="5" name="Quantidade"/>
    <x:tableColumn id="6" name="Valor unitário"/>
    <x:tableColumn id="7" name="BDI (%)"/>
    <x:tableColumn id="8" name="Preço de ven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ronograma" displayName="TblCronograma" ref="A1:H15" headerRowCount="1" totalsRowCount="0" totalsRowShown="0">
  <x:tableColumns count="8">
    <x:tableColumn id="1" name="Obra"/>
    <x:tableColumn id="2" name="Atividade"/>
    <x:tableColumn id="3" name="Início"/>
    <x:tableColumn id="4" name="Fim"/>
    <x:tableColumn id="5" name="Responsável"/>
    <x:tableColumn id="6" name="Progresso (%)"/>
    <x:tableColumn id="7" name="Status"/>
    <x:tableColumn id="8" name="Duração (dia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Medicoes" displayName="TblMedicoes" ref="A1:G9" headerRowCount="1" totalsRowCount="0" totalsRowShown="0">
  <x:tableColumns count="7">
    <x:tableColumn id="1" name="Obra"/>
    <x:tableColumn id="2" name="Data"/>
    <x:tableColumn id="3" name="Número"/>
    <x:tableColumn id="4" name="Descrição"/>
    <x:tableColumn id="5" name="Avanço físico (%)"/>
    <x:tableColumn id="6" name="Valor medido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Equipamentos" displayName="TblEquipamentos" ref="A1:F8" headerRowCount="1" totalsRowCount="0" totalsRowShown="0">
  <x:tableColumns count="6">
    <x:tableColumn id="1" name="Equipamento"/>
    <x:tableColumn id="2" name="Patrimônio ou código"/>
    <x:tableColumn id="3" name="Obra alocada"/>
    <x:tableColumn id="4" name="Horímetro"/>
    <x:tableColumn id="5" name="Próxima manutenção"/>
    <x:tableColumn id="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Compras" displayName="TblCompras" ref="A1:G9" headerRowCount="1" totalsRowCount="0" totalsRowShown="0">
  <x:tableColumns count="7">
    <x:tableColumn id="1" name="Obra"/>
    <x:tableColumn id="2" name="Fornecedor"/>
    <x:tableColumn id="3" name="Data"/>
    <x:tableColumn id="4" name="Prazo de entrega"/>
    <x:tableColumn id="5" name="Itens ou descrição"/>
    <x:tableColumn id="6" name="Valor total"/>
    <x:tableColumn id="7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Financeiro" displayName="TblFinanceiro" ref="A1:H14" headerRowCount="1" totalsRowCount="0" totalsRowShown="0">
  <x:tableColumns count="8">
    <x:tableColumn id="1" name="Obra"/>
    <x:tableColumn id="2" name="Competência"/>
    <x:tableColumn id="3" name="Vencimento"/>
    <x:tableColumn id="4" name="Descrição"/>
    <x:tableColumn id="5" name="Tipo"/>
    <x:tableColumn id="6" name="Categoria"/>
    <x:tableColumn id="7" name="Valor"/>
    <x:tableColumn id="8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Contratos" displayName="TblContratos" ref="A1:H5" headerRowCount="1" totalsRowCount="0" totalsRowShown="0">
  <x:tableColumns count="8">
    <x:tableColumn id="1" name="Obra"/>
    <x:tableColumn id="2" name="Número"/>
    <x:tableColumn id="3" name="Contraparte"/>
    <x:tableColumn id="4" name="Objeto"/>
    <x:tableColumn id="5" name="Início"/>
    <x:tableColumn id="6" name="Fim"/>
    <x:tableColumn id="7" name="Valor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Pessoal" displayName="TblPessoal" ref="A1:F11" headerRowCount="1" totalsRowCount="0" totalsRowShown="0">
  <x:tableColumns count="6">
    <x:tableColumn id="1" name="Nome"/>
    <x:tableColumn id="2" name="Função"/>
    <x:tableColumn id="3" name="Admissão"/>
    <x:tableColumn id="4" name="Salário"/>
    <x:tableColumn id="5" name="Obra alocada"/>
    <x:tableColumn id="6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Qualidade" displayName="TblQualidade" ref="A1:H6" headerRowCount="1" totalsRowCount="0" totalsRowShown="0">
  <x:tableColumns count="8">
    <x:tableColumn id="1" name="Obra"/>
    <x:tableColumn id="2" name="Data"/>
    <x:tableColumn id="3" name="Etapa ou serviço"/>
    <x:tableColumn id="4" name="Não conformidade"/>
    <x:tableColumn id="5" name="Responsável"/>
    <x:tableColumn id="6" name="Prazo"/>
    <x:tableColumn id="7" name="Severidade"/>
    <x:tableColumn id="8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Seguranca" displayName="TblSeguranca" ref="A1:F7" headerRowCount="1" totalsRowCount="0" totalsRowShown="0">
  <x:tableColumns count="6">
    <x:tableColumn id="1" name="Obra"/>
    <x:tableColumn id="2" name="Data"/>
    <x:tableColumn id="3" name="Tipo"/>
    <x:tableColumn id="4" name="Descrição"/>
    <x:tableColumn id="5" name="Responsável"/>
    <x:tableColumn id="6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Documentos" displayName="TblDocumentos" ref="A1:I7" headerRowCount="1" totalsRowCount="0" totalsRowShown="0">
  <x:tableColumns count="9">
    <x:tableColumn id="1" name="Obra"/>
    <x:tableColumn id="2" name="Nome do documento"/>
    <x:tableColumn id="3" name="Categoria"/>
    <x:tableColumn id="4" name="Data"/>
    <x:tableColumn id="5" name="Vencimento"/>
    <x:tableColumn id="6" name="Revisão"/>
    <x:tableColumn id="7" name="Status"/>
    <x:tableColumn id="8" name="Link HTTPS"/>
    <x:tableColumn id="9" name="Observaçõ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Auditoria" displayName="TblAuditoria" ref="A1:F7" headerRowCount="1" totalsRowCount="0" totalsRowShown="0">
  <x:tableColumns count="6">
    <x:tableColumn id="1" name="Data/Hora"/>
    <x:tableColumn id="2" name="Usuário"/>
    <x:tableColumn id="3" name="Ação"/>
    <x:tableColumn id="4" name="Módulo"/>
    <x:tableColumn id="5" name="Registro"/>
    <x:tableColumn id="6" name="Detalh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stoqueTable" displayName="EstoqueTable" ref="A1:R11" headerRowCount="1" totalsRowCount="0" totalsRowShown="0">
  <x:tableColumns count="18">
    <x:tableColumn id="1" name="Obra"/>
    <x:tableColumn id="2" name="Data de referência"/>
    <x:tableColumn id="3" name="Material / insumo"/>
    <x:tableColumn id="4" name="Categoria"/>
    <x:tableColumn id="5" name="Unidade"/>
    <x:tableColumn id="6" name="Estoque atual"/>
    <x:tableColumn id="7" name="Estoque mínimo"/>
    <x:tableColumn id="8" name="Estoque máximo"/>
    <x:tableColumn id="9" name="Estoque de segurança"/>
    <x:tableColumn id="10" name="Consumo médio diário"/>
    <x:tableColumn id="11" name="Prazo de reposição (dias)"/>
    <x:tableColumn id="12" name="Ponto de pedido manual"/>
    <x:tableColumn id="13" name="Estoque de antecipação"/>
    <x:tableColumn id="14" name="Valor unitário"/>
    <x:tableColumn id="15" name="Ponto de pedido efetivo"/>
    <x:tableColumn id="16" name="Estoque médio"/>
    <x:tableColumn id="17" name="Valor em estoque"/>
    <x:tableColumn id="18" name="Semáfo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72ee7215fd45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be3f8e50e74e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55ee174381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e64207783043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f6507fbc3f4e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f9d21da01944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dc6fd410d847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97d210666b49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f5b56d8251648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e36f1e58bee4f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70bdbc8f64840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3f17187d0034a8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3f0a6b8ae3f47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ca9ac3120ee4dc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cc655d444ba41c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.xml" Id="R699b868113524a0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278bea93e1bd454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35" t="str">
        <x:v>ObraTop - Super Planilha Base-Exemplo V3.12</x:v>
      </x:c>
      <x:c r="B1" s="135" t="str">
        <x:v>Modelo integrado para importação: EAP + Gantt estilo MS Project + Estoque + demais módulos.</x:v>
      </x:c>
      <x:c r="C1" s="5"/>
      <x:c r="D1" s="5"/>
      <x:c r="E1" s="5"/>
      <x:c r="F1" s="5"/>
      <x:c r="G1" s="5"/>
      <x:c r="H1" s="5"/>
    </x:row>
    <x:row r="2">
      <x:c r="A2" s="140" t="str">
        <x:v>FINALIDADE</x:v>
      </x:c>
      <x:c r="B2" s="50" t="str">
        <x:v>Carga completa de demonstração com duas obras, estruturas analíticas específicas, atividades e subatividades.</x:v>
      </x:c>
      <x:c r="C2" s="5"/>
      <x:c r="D2" s="5"/>
      <x:c r="E2" s="5"/>
      <x:c r="F2" s="5"/>
      <x:c r="G2" s="5"/>
      <x:c r="H2" s="5"/>
    </x:row>
    <x:row r="3">
      <x:c r="A3" s="141" t="str">
        <x:v>ORIGEM EAP</x:v>
      </x:c>
      <x:c r="B3" s="19" t="str">
        <x:v>Estrutura orientada pela planilha 'materiais-sienge-planilha-modelo-eap-orcamento-2.xlsx' enviada pelo usuário; conteúdo técnico adaptado às duas obras.</x:v>
      </x:c>
    </x:row>
    <x:row r="4">
      <x:c r="A4" s="142" t="str">
        <x:v>ORDEM DE IMPORTAÇÃO</x:v>
      </x:c>
      <x:c r="B4" s="19" t="str">
        <x:v>1) OBRAS → 2) FORNECEDORES → 3) ESTOQUE e módulos → 4) CRONOGRAMA → 5) EQUIPE_USUARIOS por convite.</x:v>
      </x:c>
    </x:row>
    <x:row r="5">
      <x:c r="A5" s="142" t="str">
        <x:v>EAP</x:v>
      </x:c>
      <x:c r="B5" s="19" t="str">
        <x:v>A aba EAP contém a hierarquia completa, descrição, critérios de aceitação, custos unitários, datas, avanço, quantidades e predecessoras.</x:v>
      </x:c>
    </x:row>
    <x:row r="6">
      <x:c r="A6" s="142" t="str">
        <x:v>EAP GRÁFICA</x:v>
      </x:c>
      <x:c r="B6" s="19" t="str">
        <x:v>As abas EAP_GRAF_OBRA1 e EAP_GRAF_OBRA2 apresentam a árvore visual correspondente a cada obra.</x:v>
      </x:c>
    </x:row>
    <x:row r="7">
      <x:c r="A7" s="142" t="str">
        <x:v>CRONOGRAMA V3.12</x:v>
      </x:c>
      <x:c r="B7" s="19" t="str">
        <x:v>Compatível com campos do Gantt: EAP/WBS, início, fim, dias úteis, percentual/quantidade, predecessoras, responsável e status.</x:v>
      </x:c>
    </x:row>
    <x:row r="8">
      <x:c r="A8" s="142" t="str">
        <x:v>CONTROLE POR QUANTIDADE</x:v>
      </x:c>
      <x:c r="B8" s="19" t="str">
        <x:v>Quando aplicável, preencha Quantidade planejada e executada; o ObraTop calcula o avanço físico.</x:v>
      </x:c>
    </x:row>
    <x:row r="9">
      <x:c r="A9" s="142" t="str">
        <x:v>PREDECESSORAS</x:v>
      </x:c>
      <x:c r="B9" s="19" t="str">
        <x:v>Utilize os códigos EAP/WBS separados por vírgula quando houver mais de uma predecessora.</x:v>
      </x:c>
    </x:row>
    <x:row r="10">
      <x:c r="A10" s="142" t="str">
        <x:v>ORÇAMENTO</x:v>
      </x:c>
      <x:c r="B10" s="19" t="str">
        <x:v>A planilha ORCAMENTO permanece compatível com o importador. A EAP possui custos diretos indicativos para planejamento.</x:v>
      </x:c>
    </x:row>
    <x:row r="11">
      <x:c r="A11" s="142" t="str">
        <x:v>ESTOQUE</x:v>
      </x:c>
      <x:c r="B11" s="19" t="str">
        <x:v>Mantém mínimo, máximo, segurança, antecipação, ponto de pedido, estoque médio e semáforo.</x:v>
      </x:c>
    </x:row>
    <x:row r="12">
      <x:c r="A12" s="141" t="str">
        <x:v>CURVAS S / ABC</x:v>
      </x:c>
      <x:c r="B12" s="19" t="str">
        <x:v>Os dados de cronograma, orçamento, pessoal, equipamentos e estoque alimentam as análises do ObraTop.</x:v>
      </x:c>
    </x:row>
    <x:row r="13">
      <x:c r="A13" s="141" t="str">
        <x:v>USUÁRIOS</x:v>
      </x:c>
      <x:c r="B13" s="24" t="str">
        <x:v>Senhas da planilha são apenas exemplos. Usuários reais devem entrar por convite; não armazenar senha real em planilhas.</x:v>
      </x:c>
      <x:c r="C13" s="24"/>
      <x:c r="D13" s="24"/>
      <x:c r="E13" s="24"/>
      <x:c r="F13" s="24"/>
      <x:c r="G13" s="24"/>
      <x:c r="H13" s="24"/>
    </x:row>
    <x:row r="14">
      <x:c r="A14" s="141" t="str">
        <x:v>AUDITORIA</x:v>
      </x:c>
      <x:c r="B14" s="24" t="str">
        <x:v>A aba AUDITORIA é demonstrativa. A auditoria real é gerada automaticamente pelo sistema e não deve ser importada.</x:v>
      </x:c>
      <x:c r="C14" s="24"/>
      <x:c r="D14" s="24"/>
      <x:c r="E14" s="24"/>
      <x:c r="F14" s="24"/>
      <x:c r="G14" s="24"/>
      <x:c r="H14" s="24"/>
    </x:row>
    <x:row r="15">
      <x:c r="A15" s="141" t="str">
        <x:v>OBSERVAÇÃO</x:v>
      </x:c>
      <x:c r="B15" s="19" t="str">
        <x:v>Quantidades, custos e datas são dados de exemplo para homologação e devem ser ajustados aos projetos executivos e contratos reais.</x:v>
      </x:c>
    </x:row>
  </x:sheetData>
  <x:mergeCells>
    <x:mergeCell ref="A1:H2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4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31" t="str">
        <x:v>Nome da obra</x:v>
      </x:c>
      <x:c r="B1" s="31" t="str">
        <x:v>Cliente</x:v>
      </x:c>
      <x:c r="C1" s="31" t="str">
        <x:v>Endereço</x:v>
      </x:c>
      <x:c r="D1" s="31" t="str">
        <x:v>Início</x:v>
      </x:c>
      <x:c r="E1" s="31" t="str">
        <x:v>Término previsto</x:v>
      </x:c>
      <x:c r="F1" s="31" t="str">
        <x:v>Valor contratado</x:v>
      </x:c>
      <x:c r="G1" s="31" t="str">
        <x:v>Status</x:v>
      </x:c>
      <x:c r="H1" s="31" t="str">
        <x:v>Progresso (%)</x:v>
      </x:c>
    </x:row>
    <x:row r="2">
      <x:c r="A2" s="19" t="str">
        <x:v>Revitalização do Complexo Administrativo - Aracaju</x:v>
      </x:c>
      <x:c r="B2" s="19" t="str">
        <x:v>Grupo Exemplo Engenharia S.A.</x:v>
      </x:c>
      <x:c r="C2" s="19" t="str">
        <x:v>Av. Exemplo, 1000 - Aracaju/SE</x:v>
      </x:c>
      <x:c r="D2" s="38" t="n">
        <x:v>46204</x:v>
      </x:c>
      <x:c r="E2" s="38" t="n">
        <x:v>46477</x:v>
      </x:c>
      <x:c r="F2" s="36" t="n">
        <x:v>4850000</x:v>
      </x:c>
      <x:c r="G2" s="19" t="str">
        <x:v>Em andamento</x:v>
      </x:c>
      <x:c r="H2" s="40" t="n">
        <x:v>28</x:v>
      </x:c>
    </x:row>
    <x:row r="3">
      <x:c r="A3" s="19" t="str">
        <x:v>Pavimentação Rodoviária SE-100 - Trecho Demonstrativo</x:v>
      </x:c>
      <x:c r="B3" s="19" t="str">
        <x:v>DER/Cliente Demonstrativo</x:v>
      </x:c>
      <x:c r="C3" s="19" t="str">
        <x:v>Rodovia SE-100 - km 12 ao km 34 - SE</x:v>
      </x:c>
      <x:c r="D3" s="38" t="n">
        <x:v>46188</x:v>
      </x:c>
      <x:c r="E3" s="38" t="n">
        <x:v>46568</x:v>
      </x:c>
      <x:c r="F3" s="36" t="n">
        <x:v>12800000</x:v>
      </x:c>
      <x:c r="G3" s="19" t="str">
        <x:v>Em andamento</x:v>
      </x:c>
      <x:c r="H3" s="40" t="n">
        <x:v>22</x:v>
      </x:c>
    </x:row>
  </x:sheetData>
  <x:dataValidations count="1">
    <x:dataValidation type="list" sqref="G2:G500">
      <x:formula1>"Planejamento,Em andamento,Parada,Concluída"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72ee7215fd45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2" hidden="0" customWidth="1"/>
    <x:col min="4" max="4" width="45" hidden="0" customWidth="1"/>
    <x:col min="5" max="5" width="26" hidden="0" customWidth="1"/>
    <x:col min="6" max="6" width="14" hidden="0" customWidth="1"/>
    <x:col min="7" max="7" width="48" hidden="0" customWidth="1"/>
  </x:cols>
  <x:sheetData>
    <x:row r="1">
      <x:c r="A1" s="31" t="str">
        <x:v>Nome</x:v>
      </x:c>
      <x:c r="B1" s="31" t="str">
        <x:v>E-mail</x:v>
      </x:c>
      <x:c r="C1" s="31" t="str">
        <x:v>Perfil</x:v>
      </x:c>
      <x:c r="D1" s="31" t="str">
        <x:v>Obra atribuída</x:v>
      </x:c>
      <x:c r="E1" s="31" t="str">
        <x:v>Senha provisória EXEMPLO</x:v>
      </x:c>
      <x:c r="F1" s="31" t="str">
        <x:v>Status</x:v>
      </x:c>
      <x:c r="G1" s="31" t="str">
        <x:v>Observações</x:v>
      </x:c>
    </x:row>
    <x:row r="2">
      <x:c r="A2" s="19" t="str">
        <x:v>Administrador Geral</x:v>
      </x:c>
      <x:c r="B2" s="19" t="str">
        <x:v>administrador@exemplo.com</x:v>
      </x:c>
      <x:c r="C2" s="19" t="str">
        <x:v>Administrador geral</x:v>
      </x:c>
      <x:c r="D2" s="19" t="str">
        <x:v>Todas as obras</x:v>
      </x:c>
      <x:c r="E2" s="19" t="str">
        <x:v>Admin#ObraTop2026!</x:v>
      </x:c>
      <x:c r="F2" s="19" t="str">
        <x:v>Ativo</x:v>
      </x:c>
      <x:c r="G2" s="19" t="str">
        <x:v>Conta fictícia. Substitua pelo administrador real.</x:v>
      </x:c>
    </x:row>
    <x:row r="3">
      <x:c r="A3" s="19" t="str">
        <x:v>Engenheiro Obra 01</x:v>
      </x:c>
      <x:c r="B3" s="19" t="str">
        <x:v>engenheiro.obra01@exemplo.com</x:v>
      </x:c>
      <x:c r="C3" s="19" t="str">
        <x:v>Usuário da obra</x:v>
      </x:c>
      <x:c r="D3" s="19" t="str">
        <x:v>Revitalização do Complexo Administrativo - Aracaju</x:v>
      </x:c>
      <x:c r="E3" s="19" t="str">
        <x:v>Obra01#2026!</x:v>
      </x:c>
      <x:c r="F3" s="19" t="str">
        <x:v>Ativo</x:v>
      </x:c>
      <x:c r="G3" s="19" t="str">
        <x:v>Acesso de escrita somente à Obra 01; leitura das demais.</x:v>
      </x:c>
    </x:row>
    <x:row r="4">
      <x:c r="A4" s="19" t="str">
        <x:v>Engenheiro Obra 02</x:v>
      </x:c>
      <x:c r="B4" s="19" t="str">
        <x:v>engenheiro.obra02@exemplo.com</x:v>
      </x:c>
      <x:c r="C4" s="19" t="str">
        <x:v>Usuário da obra</x:v>
      </x:c>
      <x:c r="D4" s="19" t="str">
        <x:v>Pavimentação Rodoviária SE-100 - Trecho Demonstrativo</x:v>
      </x:c>
      <x:c r="E4" s="19" t="str">
        <x:v>Obra02#2026!</x:v>
      </x:c>
      <x:c r="F4" s="19" t="str">
        <x:v>Ativo</x:v>
      </x:c>
      <x:c r="G4" s="19" t="str">
        <x:v>Acesso de escrita somente à Obra 02; leitura das demais.</x:v>
      </x:c>
    </x:row>
  </x:sheetData>
  <x:dataValidations count="2">
    <x:dataValidation type="list" sqref="C2:C500">
      <x:formula1>"Administrador geral,Usuário da obra"</x:formula1>
    </x:dataValidation>
    <x:dataValidation type="list" sqref="F2:F500">
      <x:formula1>"Ativo,Inativo"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be3f8e50e74e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8" hidden="0" customWidth="1"/>
    <x:col min="4" max="4" width="34" hidden="0" customWidth="1"/>
    <x:col min="5" max="5" width="28" hidden="0" customWidth="1"/>
    <x:col min="6" max="6" width="14" hidden="0" customWidth="1"/>
  </x:cols>
  <x:sheetData>
    <x:row r="1">
      <x:c r="A1" s="31" t="str">
        <x:v>Nome ou razão social</x:v>
      </x:c>
      <x:c r="B1" s="31" t="str">
        <x:v>CNPJ</x:v>
      </x:c>
      <x:c r="C1" s="31" t="str">
        <x:v>Telefone</x:v>
      </x:c>
      <x:c r="D1" s="31" t="str">
        <x:v>E-mail</x:v>
      </x:c>
      <x:c r="E1" s="31" t="str">
        <x:v>Categoria</x:v>
      </x:c>
      <x:c r="F1" s="31" t="str">
        <x:v>Status</x:v>
      </x:c>
    </x:row>
    <x:row r="2">
      <x:c r="A2" s="19" t="str">
        <x:v>Concrefort Materiais Ltda</x:v>
      </x:c>
      <x:c r="B2" s="19" t="str">
        <x:v>12.345.678/0001-10</x:v>
      </x:c>
      <x:c r="C2" s="19" t="str">
        <x:v>(79) 99999-1001</x:v>
      </x:c>
      <x:c r="D2" s="19" t="str">
        <x:v>comercial@concrefort.exemplo</x:v>
      </x:c>
      <x:c r="E2" s="19" t="str">
        <x:v>Concreto e agregados</x:v>
      </x:c>
      <x:c r="F2" s="19" t="str">
        <x:v>Ativo</x:v>
      </x:c>
    </x:row>
    <x:row r="3">
      <x:c r="A3" s="19" t="str">
        <x:v>PavMix Asfaltos Ltda</x:v>
      </x:c>
      <x:c r="B3" s="19" t="str">
        <x:v>23.456.789/0001-20</x:v>
      </x:c>
      <x:c r="C3" s="19" t="str">
        <x:v>(79) 99999-1002</x:v>
      </x:c>
      <x:c r="D3" s="19" t="str">
        <x:v>vendas@pavmix.exemplo</x:v>
      </x:c>
      <x:c r="E3" s="19" t="str">
        <x:v>Asfalto/CBUQ</x:v>
      </x:c>
      <x:c r="F3" s="19" t="str">
        <x:v>Ativo</x:v>
      </x:c>
    </x:row>
    <x:row r="4">
      <x:c r="A4" s="19" t="str">
        <x:v>EletroNordeste Comercial</x:v>
      </x:c>
      <x:c r="B4" s="19" t="str">
        <x:v>34.567.890/0001-30</x:v>
      </x:c>
      <x:c r="C4" s="19" t="str">
        <x:v>(79) 99999-1003</x:v>
      </x:c>
      <x:c r="D4" s="19" t="str">
        <x:v>contato@eletronordeste.exemplo</x:v>
      </x:c>
      <x:c r="E4" s="19" t="str">
        <x:v>Elétrica</x:v>
      </x:c>
      <x:c r="F4" s="19" t="str">
        <x:v>Ativo</x:v>
      </x:c>
    </x:row>
    <x:row r="5">
      <x:c r="A5" s="19" t="str">
        <x:v>LocaMáq Equipamentos</x:v>
      </x:c>
      <x:c r="B5" s="19" t="str">
        <x:v>45.678.901/0001-40</x:v>
      </x:c>
      <x:c r="C5" s="19" t="str">
        <x:v>(79) 99999-1004</x:v>
      </x:c>
      <x:c r="D5" s="19" t="str">
        <x:v>locacao@locamaq.exemplo</x:v>
      </x:c>
      <x:c r="E5" s="19" t="str">
        <x:v>Locação de equipamentos</x:v>
      </x:c>
      <x:c r="F5" s="19" t="str">
        <x:v>Ativo</x:v>
      </x:c>
    </x:row>
    <x:row r="6">
      <x:c r="A6" s="19" t="str">
        <x:v>SegWork EPI Ltda</x:v>
      </x:c>
      <x:c r="B6" s="19" t="str">
        <x:v>56.789.012/0001-50</x:v>
      </x:c>
      <x:c r="C6" s="19" t="str">
        <x:v>(79) 99999-1005</x:v>
      </x:c>
      <x:c r="D6" s="19" t="str">
        <x:v>vendas@segwork.exemplo</x:v>
      </x:c>
      <x:c r="E6" s="19" t="str">
        <x:v>EPI/EPC</x:v>
      </x:c>
      <x:c r="F6" s="19" t="str">
        <x:v>Ativo</x:v>
      </x:c>
    </x:row>
    <x:row r="7">
      <x:c r="A7" s="19" t="str">
        <x:v>TopGeo Serviços Técnicos</x:v>
      </x:c>
      <x:c r="B7" s="19" t="str">
        <x:v>67.890.123/0001-60</x:v>
      </x:c>
      <x:c r="C7" s="19" t="str">
        <x:v>(79) 99999-1006</x:v>
      </x:c>
      <x:c r="D7" s="19" t="str">
        <x:v>projetos@topgeo.exemplo</x:v>
      </x:c>
      <x:c r="E7" s="19" t="str">
        <x:v>Topografia</x:v>
      </x:c>
      <x:c r="F7" s="19" t="str">
        <x:v>Ativo</x:v>
      </x:c>
    </x:row>
  </x:sheetData>
  <x:dataValidations count="1">
    <x:dataValidation type="list" sqref="F2:F500">
      <x:formula1>"Ativo,Bloqueado,Inativo"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55ee1743814b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4" hidden="0" customWidth="1"/>
    <x:col min="3" max="3" width="42" hidden="0" customWidth="1"/>
    <x:col min="4" max="4" width="12" hidden="0" customWidth="1"/>
    <x:col min="5" max="5" width="14" hidden="0" customWidth="1"/>
    <x:col min="6" max="6" width="18" hidden="0" customWidth="1"/>
    <x:col min="7" max="7" width="12" hidden="0" customWidth="1"/>
    <x:col min="8" max="8" width="20" hidden="0" customWidth="1"/>
  </x:cols>
  <x:sheetData>
    <x:row r="1">
      <x:c r="A1" s="31" t="str">
        <x:v>Obra</x:v>
      </x:c>
      <x:c r="B1" s="31" t="str">
        <x:v>Categoria</x:v>
      </x:c>
      <x:c r="C1" s="31" t="str">
        <x:v>Serviço ou material</x:v>
      </x:c>
      <x:c r="D1" s="31" t="str">
        <x:v>Unidade</x:v>
      </x:c>
      <x:c r="E1" s="31" t="str">
        <x:v>Quantidade</x:v>
      </x:c>
      <x:c r="F1" s="31" t="str">
        <x:v>Valor unitário</x:v>
      </x:c>
      <x:c r="G1" s="31" t="str">
        <x:v>BDI (%)</x:v>
      </x:c>
      <x:c r="H1" s="31" t="str">
        <x:v>Preço de venda</x:v>
      </x:c>
    </x:row>
    <x:row r="2">
      <x:c r="A2" s="19" t="str">
        <x:v>Revitalização do Complexo Administrativo - Aracaju</x:v>
      </x:c>
      <x:c r="B2" s="19" t="str">
        <x:v>Serviços preliminares</x:v>
      </x:c>
      <x:c r="C2" s="19" t="str">
        <x:v>Mobilização e canteiro</x:v>
      </x:c>
      <x:c r="D2" s="19" t="str">
        <x:v>vb</x:v>
      </x:c>
      <x:c r="E2" s="19" t="n">
        <x:v>1</x:v>
      </x:c>
      <x:c r="F2" s="36" t="n">
        <x:v>165000</x:v>
      </x:c>
      <x:c r="G2" s="40" t="n">
        <x:v>10</x:v>
      </x:c>
      <x:c r="H2" s="36" t="n">
        <x:f>E2*F2*(1+G2/100)</x:f>
        <x:v>181500.00000000003</x:v>
      </x:c>
    </x:row>
    <x:row r="3">
      <x:c r="A3" s="19" t="str">
        <x:v>Revitalização do Complexo Administrativo - Aracaju</x:v>
      </x:c>
      <x:c r="B3" s="19" t="str">
        <x:v>Demolições</x:v>
      </x:c>
      <x:c r="C3" s="19" t="str">
        <x:v>Demolições controladas e remoções</x:v>
      </x:c>
      <x:c r="D3" s="19" t="str">
        <x:v>m²</x:v>
      </x:c>
      <x:c r="E3" s="19" t="n">
        <x:v>1800</x:v>
      </x:c>
      <x:c r="F3" s="36" t="n">
        <x:v>68</x:v>
      </x:c>
      <x:c r="G3" s="40" t="n">
        <x:v>10</x:v>
      </x:c>
      <x:c r="H3" s="36" t="n">
        <x:f>E3*F3*(1+G3/100)</x:f>
        <x:v>134640</x:v>
      </x:c>
    </x:row>
    <x:row r="4">
      <x:c r="A4" s="19" t="str">
        <x:v>Revitalização do Complexo Administrativo - Aracaju</x:v>
      </x:c>
      <x:c r="B4" s="19" t="str">
        <x:v>Estrutura</x:v>
      </x:c>
      <x:c r="C4" s="19" t="str">
        <x:v>Reforço estrutural localizado</x:v>
      </x:c>
      <x:c r="D4" s="19" t="str">
        <x:v>m²</x:v>
      </x:c>
      <x:c r="E4" s="19" t="n">
        <x:v>950</x:v>
      </x:c>
      <x:c r="F4" s="36" t="n">
        <x:v>480</x:v>
      </x:c>
      <x:c r="G4" s="40" t="n">
        <x:v>12</x:v>
      </x:c>
      <x:c r="H4" s="36" t="n">
        <x:f>E4*F4*(1+G4/100)</x:f>
        <x:v>510720.00000000006</x:v>
      </x:c>
    </x:row>
    <x:row r="5">
      <x:c r="A5" s="19" t="str">
        <x:v>Revitalização do Complexo Administrativo - Aracaju</x:v>
      </x:c>
      <x:c r="B5" s="19" t="str">
        <x:v>Arquitetura</x:v>
      </x:c>
      <x:c r="C5" s="19" t="str">
        <x:v>Pintura externa e interna</x:v>
      </x:c>
      <x:c r="D5" s="19" t="str">
        <x:v>m²</x:v>
      </x:c>
      <x:c r="E5" s="19" t="n">
        <x:v>14200</x:v>
      </x:c>
      <x:c r="F5" s="36" t="n">
        <x:v>42</x:v>
      </x:c>
      <x:c r="G5" s="40" t="n">
        <x:v>10</x:v>
      </x:c>
      <x:c r="H5" s="36" t="n">
        <x:f>E5*F5*(1+G5/100)</x:f>
        <x:v>656040</x:v>
      </x:c>
    </x:row>
    <x:row r="6">
      <x:c r="A6" s="19" t="str">
        <x:v>Revitalização do Complexo Administrativo - Aracaju</x:v>
      </x:c>
      <x:c r="B6" s="19" t="str">
        <x:v>Elétrica</x:v>
      </x:c>
      <x:c r="C6" s="19" t="str">
        <x:v>Adequações elétricas e iluminação LED</x:v>
      </x:c>
      <x:c r="D6" s="19" t="str">
        <x:v>vb</x:v>
      </x:c>
      <x:c r="E6" s="19" t="n">
        <x:v>1</x:v>
      </x:c>
      <x:c r="F6" s="36" t="n">
        <x:v>385000</x:v>
      </x:c>
      <x:c r="G6" s="40" t="n">
        <x:v>10</x:v>
      </x:c>
      <x:c r="H6" s="36" t="n">
        <x:f>E6*F6*(1+G6/100)</x:f>
        <x:v>423500.00000000006</x:v>
      </x:c>
    </x:row>
    <x:row r="7">
      <x:c r="A7" s="19" t="str">
        <x:v>Revitalização do Complexo Administrativo - Aracaju</x:v>
      </x:c>
      <x:c r="B7" s="19" t="str">
        <x:v>Hidrossanitário</x:v>
      </x:c>
      <x:c r="C7" s="19" t="str">
        <x:v>Adequações de redes e aparelhos</x:v>
      </x:c>
      <x:c r="D7" s="19" t="str">
        <x:v>vb</x:v>
      </x:c>
      <x:c r="E7" s="19" t="n">
        <x:v>1</x:v>
      </x:c>
      <x:c r="F7" s="36" t="n">
        <x:v>245000</x:v>
      </x:c>
      <x:c r="G7" s="40" t="n">
        <x:v>10</x:v>
      </x:c>
      <x:c r="H7" s="36" t="n">
        <x:f>E7*F7*(1+G7/100)</x:f>
        <x:v>269500</x:v>
      </x:c>
    </x:row>
    <x:row r="8">
      <x:c r="A8" s="19" t="str">
        <x:v>Revitalização do Complexo Administrativo - Aracaju</x:v>
      </x:c>
      <x:c r="B8" s="19" t="str">
        <x:v>Acabamentos</x:v>
      </x:c>
      <x:c r="C8" s="19" t="str">
        <x:v>Pisos, forros e revestimentos</x:v>
      </x:c>
      <x:c r="D8" s="19" t="str">
        <x:v>m²</x:v>
      </x:c>
      <x:c r="E8" s="19" t="n">
        <x:v>5900</x:v>
      </x:c>
      <x:c r="F8" s="36" t="n">
        <x:v>185</x:v>
      </x:c>
      <x:c r="G8" s="40" t="n">
        <x:v>10</x:v>
      </x:c>
      <x:c r="H8" s="36" t="n">
        <x:f>E8*F8*(1+G8/100)</x:f>
        <x:v>1200650</x:v>
      </x:c>
    </x:row>
    <x:row r="9">
      <x:c r="A9" s="19" t="str">
        <x:v>Pavimentação Rodoviária SE-100 - Trecho Demonstrativo</x:v>
      </x:c>
      <x:c r="B9" s="19" t="str">
        <x:v>Terraplenagem</x:v>
      </x:c>
      <x:c r="C9" s="19" t="str">
        <x:v>Escavação/carga/transporte</x:v>
      </x:c>
      <x:c r="D9" s="19" t="str">
        <x:v>m³</x:v>
      </x:c>
      <x:c r="E9" s="19" t="n">
        <x:v>48000</x:v>
      </x:c>
      <x:c r="F9" s="36" t="n">
        <x:v>28</x:v>
      </x:c>
      <x:c r="G9" s="40" t="n">
        <x:v>15</x:v>
      </x:c>
      <x:c r="H9" s="36" t="n">
        <x:f>E9*F9*(1+G9/100)</x:f>
        <x:v>1545599.9999999998</x:v>
      </x:c>
    </x:row>
    <x:row r="10">
      <x:c r="A10" s="19" t="str">
        <x:v>Pavimentação Rodoviária SE-100 - Trecho Demonstrativo</x:v>
      </x:c>
      <x:c r="B10" s="19" t="str">
        <x:v>Terraplenagem</x:v>
      </x:c>
      <x:c r="C10" s="19" t="str">
        <x:v>Compactação de aterro</x:v>
      </x:c>
      <x:c r="D10" s="19" t="str">
        <x:v>m³</x:v>
      </x:c>
      <x:c r="E10" s="19" t="n">
        <x:v>36000</x:v>
      </x:c>
      <x:c r="F10" s="36" t="n">
        <x:v>18</x:v>
      </x:c>
      <x:c r="G10" s="40" t="n">
        <x:v>15</x:v>
      </x:c>
      <x:c r="H10" s="36" t="n">
        <x:f>E10*F10*(1+G10/100)</x:f>
        <x:v>745200</x:v>
      </x:c>
    </x:row>
    <x:row r="11">
      <x:c r="A11" s="19" t="str">
        <x:v>Pavimentação Rodoviária SE-100 - Trecho Demonstrativo</x:v>
      </x:c>
      <x:c r="B11" s="19" t="str">
        <x:v>Drenagem</x:v>
      </x:c>
      <x:c r="C11" s="19" t="str">
        <x:v>Bueiros e dispositivos</x:v>
      </x:c>
      <x:c r="D11" s="19" t="str">
        <x:v>vb</x:v>
      </x:c>
      <x:c r="E11" s="19" t="n">
        <x:v>1</x:v>
      </x:c>
      <x:c r="F11" s="36" t="n">
        <x:v>1250000</x:v>
      </x:c>
      <x:c r="G11" s="40" t="n">
        <x:v>15</x:v>
      </x:c>
      <x:c r="H11" s="36" t="n">
        <x:f>E11*F11*(1+G11/100)</x:f>
        <x:v>1437500</x:v>
      </x:c>
    </x:row>
    <x:row r="12">
      <x:c r="A12" s="19" t="str">
        <x:v>Pavimentação Rodoviária SE-100 - Trecho Demonstrativo</x:v>
      </x:c>
      <x:c r="B12" s="19" t="str">
        <x:v>Pavimentação</x:v>
      </x:c>
      <x:c r="C12" s="19" t="str">
        <x:v>Sub-base estabilizada</x:v>
      </x:c>
      <x:c r="D12" s="19" t="str">
        <x:v>m³</x:v>
      </x:c>
      <x:c r="E12" s="19" t="n">
        <x:v>15500</x:v>
      </x:c>
      <x:c r="F12" s="36" t="n">
        <x:v>118</x:v>
      </x:c>
      <x:c r="G12" s="40" t="n">
        <x:v>15</x:v>
      </x:c>
      <x:c r="H12" s="36" t="n">
        <x:f>E12*F12*(1+G12/100)</x:f>
        <x:v>2103350</x:v>
      </x:c>
    </x:row>
    <x:row r="13">
      <x:c r="A13" s="19" t="str">
        <x:v>Pavimentação Rodoviária SE-100 - Trecho Demonstrativo</x:v>
      </x:c>
      <x:c r="B13" s="19" t="str">
        <x:v>Pavimentação</x:v>
      </x:c>
      <x:c r="C13" s="19" t="str">
        <x:v>Base brita graduada</x:v>
      </x:c>
      <x:c r="D13" s="19" t="str">
        <x:v>m³</x:v>
      </x:c>
      <x:c r="E13" s="19" t="n">
        <x:v>12300</x:v>
      </x:c>
      <x:c r="F13" s="36" t="n">
        <x:v>165</x:v>
      </x:c>
      <x:c r="G13" s="40" t="n">
        <x:v>15</x:v>
      </x:c>
      <x:c r="H13" s="36" t="n">
        <x:f>E13*F13*(1+G13/100)</x:f>
        <x:v>2333925</x:v>
      </x:c>
    </x:row>
    <x:row r="14">
      <x:c r="A14" s="19" t="str">
        <x:v>Pavimentação Rodoviária SE-100 - Trecho Demonstrativo</x:v>
      </x:c>
      <x:c r="B14" s="19" t="str">
        <x:v>Pavimentação</x:v>
      </x:c>
      <x:c r="C14" s="19" t="str">
        <x:v>CBUQ faixa C</x:v>
      </x:c>
      <x:c r="D14" s="19" t="str">
        <x:v>t</x:v>
      </x:c>
      <x:c r="E14" s="19" t="n">
        <x:v>7800</x:v>
      </x:c>
      <x:c r="F14" s="36" t="n">
        <x:v>610</x:v>
      </x:c>
      <x:c r="G14" s="40" t="n">
        <x:v>15</x:v>
      </x:c>
      <x:c r="H14" s="36" t="n">
        <x:f>E14*F14*(1+G14/100)</x:f>
        <x:v>5471700</x:v>
      </x:c>
    </x:row>
    <x:row r="15">
      <x:c r="A15" s="19" t="str">
        <x:v>Pavimentação Rodoviária SE-100 - Trecho Demonstrativo</x:v>
      </x:c>
      <x:c r="B15" s="19" t="str">
        <x:v>Sinalização</x:v>
      </x:c>
      <x:c r="C15" s="19" t="str">
        <x:v>Sinalização horizontal e vertical</x:v>
      </x:c>
      <x:c r="D15" s="19" t="str">
        <x:v>vb</x:v>
      </x:c>
      <x:c r="E15" s="19" t="n">
        <x:v>1</x:v>
      </x:c>
      <x:c r="F15" s="36" t="n">
        <x:v>690000</x:v>
      </x:c>
      <x:c r="G15" s="40" t="n">
        <x:v>15</x:v>
      </x:c>
      <x:c r="H15" s="36" t="n">
        <x:f>E15*F15*(1+G15/100)</x:f>
        <x:v>793499.9999999999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cbe64207783043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" hidden="0" customWidth="1"/>
    <x:col min="3" max="3" width="38" hidden="0" customWidth="1"/>
    <x:col min="4" max="4" width="12" hidden="0" customWidth="1"/>
    <x:col min="5" max="5" width="12" hidden="0" customWidth="1"/>
    <x:col min="6" max="6" width="10" hidden="0" customWidth="1"/>
    <x:col min="7" max="7" width="18" hidden="0" customWidth="1"/>
    <x:col min="8" max="8" width="12" hidden="0" customWidth="1"/>
    <x:col min="9" max="9" width="16" hidden="0" customWidth="1"/>
    <x:col min="10" max="10" width="16" hidden="0" customWidth="1"/>
    <x:col min="11" max="11" width="10" hidden="0" customWidth="1"/>
    <x:col min="12" max="12" width="18" hidden="0" customWidth="1"/>
    <x:col min="13" max="13" width="20" hidden="0" customWidth="1"/>
    <x:col min="14" max="14" width="15" hidden="0" customWidth="1"/>
  </x:cols>
  <x:sheetData>
    <x:row r="1">
      <x:c r="A1" s="72" t="str">
        <x:v>Obra</x:v>
      </x:c>
      <x:c r="B1" s="72" t="str">
        <x:v>EAP / WBS</x:v>
      </x:c>
      <x:c r="C1" s="72" t="str">
        <x:v>Atividade</x:v>
      </x:c>
      <x:c r="D1" s="72" t="str">
        <x:v>Início</x:v>
      </x:c>
      <x:c r="E1" s="72" t="str">
        <x:v>Fim</x:v>
      </x:c>
      <x:c r="F1" s="72" t="str">
        <x:v>Dias úteis</x:v>
      </x:c>
      <x:c r="G1" s="72" t="str">
        <x:v>Controle de avanço</x:v>
      </x:c>
      <x:c r="H1" s="72" t="str">
        <x:v>Progresso (%)</x:v>
      </x:c>
      <x:c r="I1" s="72" t="str">
        <x:v>Quantidade planejada</x:v>
      </x:c>
      <x:c r="J1" s="72" t="str">
        <x:v>Quantidade executada</x:v>
      </x:c>
      <x:c r="K1" s="72" t="str">
        <x:v>Unidade</x:v>
      </x:c>
      <x:c r="L1" s="72" t="str">
        <x:v>Predecessoras</x:v>
      </x:c>
      <x:c r="M1" s="72" t="str">
        <x:v>Responsável</x:v>
      </x:c>
      <x:c r="N1" s="72" t="str">
        <x:v>Status</x:v>
      </x:c>
    </x:row>
    <x:row r="2">
      <x:c r="A2" s="80" t="str">
        <x:v>Revitalização do Complexo Administrativo - Aracaju</x:v>
      </x:c>
      <x:c r="B2" s="80" t="str">
        <x:v>1.1.1</x:v>
      </x:c>
      <x:c r="C2" s="81" t="str">
        <x:v>Planejamento executivo da obra</x:v>
      </x:c>
      <x:c r="D2" s="81" t="n">
        <x:v>46204</x:v>
      </x:c>
      <x:c r="E2" s="81" t="n">
        <x:v>46213</x:v>
      </x:c>
      <x:c r="F2" s="82" t="n">
        <x:v>8</x:v>
      </x:c>
      <x:c r="G2" s="80" t="str">
        <x:v>Percentual</x:v>
      </x:c>
      <x:c r="H2" s="84" t="n">
        <x:v>100</x:v>
      </x:c>
      <x:c r="I2" s="73" t="str"/>
      <x:c r="J2" s="73" t="str"/>
      <x:c r="K2" s="73" t="str"/>
      <x:c r="L2" s="73" t="str"/>
      <x:c r="M2" s="73" t="str">
        <x:v>Carlos Mendes</x:v>
      </x:c>
      <x:c r="N2" s="73" t="str">
        <x:v>Concluída</x:v>
      </x:c>
    </x:row>
    <x:row r="3">
      <x:c r="A3" s="80" t="str">
        <x:v>Revitalização do Complexo Administrativo - Aracaju</x:v>
      </x:c>
      <x:c r="B3" s="80" t="str">
        <x:v>1.1.2</x:v>
      </x:c>
      <x:c r="C3" s="81" t="str">
        <x:v>Levantamento cadastral e diagnóstico</x:v>
      </x:c>
      <x:c r="D3" s="81" t="n">
        <x:v>46204</x:v>
      </x:c>
      <x:c r="E3" s="81" t="n">
        <x:v>46220</x:v>
      </x:c>
      <x:c r="F3" s="82" t="n">
        <x:v>13</x:v>
      </x:c>
      <x:c r="G3" s="80" t="str">
        <x:v>Percentual</x:v>
      </x:c>
      <x:c r="H3" s="84" t="n">
        <x:v>100</x:v>
      </x:c>
      <x:c r="I3" s="73" t="str"/>
      <x:c r="J3" s="73" t="str"/>
      <x:c r="K3" s="73" t="str"/>
      <x:c r="L3" s="73" t="str"/>
      <x:c r="M3" s="73" t="str">
        <x:v>Ana Souza</x:v>
      </x:c>
      <x:c r="N3" s="73" t="str">
        <x:v>Concluída</x:v>
      </x:c>
    </x:row>
    <x:row r="4">
      <x:c r="A4" s="80" t="str">
        <x:v>Revitalização do Complexo Administrativo - Aracaju</x:v>
      </x:c>
      <x:c r="B4" s="80" t="str">
        <x:v>1.1.3</x:v>
      </x:c>
      <x:c r="C4" s="81" t="str">
        <x:v>Compatibilização dos projetos complementares</x:v>
      </x:c>
      <x:c r="D4" s="81" t="n">
        <x:v>46216</x:v>
      </x:c>
      <x:c r="E4" s="81" t="n">
        <x:v>46234</x:v>
      </x:c>
      <x:c r="F4" s="82" t="n">
        <x:v>15</x:v>
      </x:c>
      <x:c r="G4" s="80" t="str">
        <x:v>Percentual</x:v>
      </x:c>
      <x:c r="H4" s="84" t="n">
        <x:v>100</x:v>
      </x:c>
      <x:c r="I4" s="73" t="str"/>
      <x:c r="J4" s="73" t="str"/>
      <x:c r="K4" s="73" t="str"/>
      <x:c r="L4" s="73" t="str">
        <x:v>1.1.2</x:v>
      </x:c>
      <x:c r="M4" s="73" t="str">
        <x:v>Ana Souza</x:v>
      </x:c>
      <x:c r="N4" s="73" t="str">
        <x:v>Concluída</x:v>
      </x:c>
    </x:row>
    <x:row r="5">
      <x:c r="A5" s="80" t="str">
        <x:v>Revitalização do Complexo Administrativo - Aracaju</x:v>
      </x:c>
      <x:c r="B5" s="80" t="str">
        <x:v>1.2.1</x:v>
      </x:c>
      <x:c r="C5" s="81" t="str">
        <x:v>Mobilização e implantação do canteiro</x:v>
      </x:c>
      <x:c r="D5" s="81" t="n">
        <x:v>46204</x:v>
      </x:c>
      <x:c r="E5" s="81" t="n">
        <x:v>46223</x:v>
      </x:c>
      <x:c r="F5" s="82" t="n">
        <x:v>14</x:v>
      </x:c>
      <x:c r="G5" s="80" t="str">
        <x:v>Percentual</x:v>
      </x:c>
      <x:c r="H5" s="84" t="n">
        <x:v>100</x:v>
      </x:c>
      <x:c r="I5" s="73" t="str"/>
      <x:c r="J5" s="73" t="str"/>
      <x:c r="K5" s="73" t="str"/>
      <x:c r="L5" s="73" t="str"/>
      <x:c r="M5" s="73" t="str">
        <x:v>Carlos Mendes</x:v>
      </x:c>
      <x:c r="N5" s="73" t="str">
        <x:v>Concluída</x:v>
      </x:c>
    </x:row>
    <x:row r="6">
      <x:c r="A6" s="80" t="str">
        <x:v>Revitalização do Complexo Administrativo - Aracaju</x:v>
      </x:c>
      <x:c r="B6" s="80" t="str">
        <x:v>1.2.2</x:v>
      </x:c>
      <x:c r="C6" s="81" t="str">
        <x:v>Proteções coletivas, tapumes e sinalização</x:v>
      </x:c>
      <x:c r="D6" s="81" t="n">
        <x:v>46209</x:v>
      </x:c>
      <x:c r="E6" s="81" t="n">
        <x:v>46227</x:v>
      </x:c>
      <x:c r="F6" s="82" t="n">
        <x:v>15</x:v>
      </x:c>
      <x:c r="G6" s="80" t="str">
        <x:v>Percentual</x:v>
      </x:c>
      <x:c r="H6" s="84" t="n">
        <x:v>100</x:v>
      </x:c>
      <x:c r="I6" s="73" t="str"/>
      <x:c r="J6" s="73" t="str"/>
      <x:c r="K6" s="73" t="str"/>
      <x:c r="L6" s="73" t="str">
        <x:v>1.2.1</x:v>
      </x:c>
      <x:c r="M6" s="73" t="str">
        <x:v>Marcos Lima</x:v>
      </x:c>
      <x:c r="N6" s="73" t="str">
        <x:v>Concluída</x:v>
      </x:c>
    </x:row>
    <x:row r="7">
      <x:c r="A7" s="80" t="str">
        <x:v>Revitalização do Complexo Administrativo - Aracaju</x:v>
      </x:c>
      <x:c r="B7" s="80" t="str">
        <x:v>1.2.3</x:v>
      </x:c>
      <x:c r="C7" s="81" t="str">
        <x:v>Demolições controladas e remoções</x:v>
      </x:c>
      <x:c r="D7" s="81" t="n">
        <x:v>46223</x:v>
      </x:c>
      <x:c r="E7" s="81" t="n">
        <x:v>46255</x:v>
      </x:c>
      <x:c r="F7" s="82" t="n">
        <x:v>25</x:v>
      </x:c>
      <x:c r="G7" s="80" t="str">
        <x:v>Quantidade</x:v>
      </x:c>
      <x:c r="H7" s="84" t="n">
        <x:v>100</x:v>
      </x:c>
      <x:c r="I7" s="73" t="n">
        <x:v>1800</x:v>
      </x:c>
      <x:c r="J7" s="73" t="n">
        <x:v>1800</x:v>
      </x:c>
      <x:c r="K7" s="73" t="str">
        <x:v>m²</x:v>
      </x:c>
      <x:c r="L7" s="73" t="str">
        <x:v>1.2.2</x:v>
      </x:c>
      <x:c r="M7" s="73" t="str">
        <x:v>Marcos Lima</x:v>
      </x:c>
      <x:c r="N7" s="73" t="str">
        <x:v>Concluída</x:v>
      </x:c>
    </x:row>
    <x:row r="8">
      <x:c r="A8" s="80" t="str">
        <x:v>Revitalização do Complexo Administrativo - Aracaju</x:v>
      </x:c>
      <x:c r="B8" s="80" t="str">
        <x:v>1.3.1</x:v>
      </x:c>
      <x:c r="C8" s="81" t="str">
        <x:v>Inspeção e mapeamento das patologias</x:v>
      </x:c>
      <x:c r="D8" s="81" t="n">
        <x:v>46230</x:v>
      </x:c>
      <x:c r="E8" s="81" t="n">
        <x:v>46241</x:v>
      </x:c>
      <x:c r="F8" s="82" t="n">
        <x:v>10</x:v>
      </x:c>
      <x:c r="G8" s="80" t="str">
        <x:v>Percentual</x:v>
      </x:c>
      <x:c r="H8" s="84" t="n">
        <x:v>100</x:v>
      </x:c>
      <x:c r="I8" s="73" t="str"/>
      <x:c r="J8" s="73" t="str"/>
      <x:c r="K8" s="73" t="str"/>
      <x:c r="L8" s="73" t="str">
        <x:v>1.2.3</x:v>
      </x:c>
      <x:c r="M8" s="73" t="str">
        <x:v>Ana Souza</x:v>
      </x:c>
      <x:c r="N8" s="73" t="str">
        <x:v>Concluída</x:v>
      </x:c>
    </x:row>
    <x:row r="9">
      <x:c r="A9" s="80" t="str">
        <x:v>Revitalização do Complexo Administrativo - Aracaju</x:v>
      </x:c>
      <x:c r="B9" s="80" t="str">
        <x:v>1.3.2</x:v>
      </x:c>
      <x:c r="C9" s="81" t="str">
        <x:v>Recuperação de concreto e armaduras</x:v>
      </x:c>
      <x:c r="D9" s="81" t="n">
        <x:v>46244</x:v>
      </x:c>
      <x:c r="E9" s="81" t="n">
        <x:v>46283</x:v>
      </x:c>
      <x:c r="F9" s="82" t="n">
        <x:v>30</x:v>
      </x:c>
      <x:c r="G9" s="80" t="str">
        <x:v>Quantidade</x:v>
      </x:c>
      <x:c r="H9" s="84" t="n">
        <x:v>80</x:v>
      </x:c>
      <x:c r="I9" s="73" t="n">
        <x:v>520</x:v>
      </x:c>
      <x:c r="J9" s="73" t="n">
        <x:v>416</x:v>
      </x:c>
      <x:c r="K9" s="73" t="str">
        <x:v>m²</x:v>
      </x:c>
      <x:c r="L9" s="73" t="str">
        <x:v>1.3.1</x:v>
      </x:c>
      <x:c r="M9" s="73" t="str">
        <x:v>Ana Souza</x:v>
      </x:c>
      <x:c r="N9" s="73" t="str">
        <x:v>Em andamento</x:v>
      </x:c>
    </x:row>
    <x:row r="10">
      <x:c r="A10" s="80" t="str">
        <x:v>Revitalização do Complexo Administrativo - Aracaju</x:v>
      </x:c>
      <x:c r="B10" s="80" t="str">
        <x:v>1.3.3</x:v>
      </x:c>
      <x:c r="C10" s="81" t="str">
        <x:v>Reforço estrutural localizado</x:v>
      </x:c>
      <x:c r="D10" s="81" t="n">
        <x:v>46258</x:v>
      </x:c>
      <x:c r="E10" s="81" t="n">
        <x:v>46304</x:v>
      </x:c>
      <x:c r="F10" s="82" t="n">
        <x:v>35</x:v>
      </x:c>
      <x:c r="G10" s="80" t="str">
        <x:v>Quantidade</x:v>
      </x:c>
      <x:c r="H10" s="84" t="n">
        <x:v>62</x:v>
      </x:c>
      <x:c r="I10" s="73" t="n">
        <x:v>950</x:v>
      </x:c>
      <x:c r="J10" s="73" t="n">
        <x:v>589</x:v>
      </x:c>
      <x:c r="K10" s="73" t="str">
        <x:v>m²</x:v>
      </x:c>
      <x:c r="L10" s="73" t="str">
        <x:v>1.3.1</x:v>
      </x:c>
      <x:c r="M10" s="73" t="str">
        <x:v>Ana Souza</x:v>
      </x:c>
      <x:c r="N10" s="73" t="str">
        <x:v>Em andamento</x:v>
      </x:c>
    </x:row>
    <x:row r="11">
      <x:c r="A11" s="80" t="str">
        <x:v>Revitalização do Complexo Administrativo - Aracaju</x:v>
      </x:c>
      <x:c r="B11" s="80" t="str">
        <x:v>1.4.1</x:v>
      </x:c>
      <x:c r="C11" s="81" t="str">
        <x:v>Revisão da cobertura e substituição de telhas</x:v>
      </x:c>
      <x:c r="D11" s="81" t="n">
        <x:v>46279</x:v>
      </x:c>
      <x:c r="E11" s="81" t="n">
        <x:v>46297</x:v>
      </x:c>
      <x:c r="F11" s="82" t="n">
        <x:v>15</x:v>
      </x:c>
      <x:c r="G11" s="80" t="str">
        <x:v>Quantidade</x:v>
      </x:c>
      <x:c r="H11" s="84" t="n">
        <x:v>35</x:v>
      </x:c>
      <x:c r="I11" s="73" t="n">
        <x:v>480</x:v>
      </x:c>
      <x:c r="J11" s="73" t="n">
        <x:v>168</x:v>
      </x:c>
      <x:c r="K11" s="73" t="str">
        <x:v>m²</x:v>
      </x:c>
      <x:c r="L11" s="73" t="str">
        <x:v>1.2.3</x:v>
      </x:c>
      <x:c r="M11" s="73" t="str">
        <x:v>Marina Alves</x:v>
      </x:c>
      <x:c r="N11" s="73" t="str">
        <x:v>Em andamento</x:v>
      </x:c>
    </x:row>
    <x:row r="12">
      <x:c r="A12" s="80" t="str">
        <x:v>Revitalização do Complexo Administrativo - Aracaju</x:v>
      </x:c>
      <x:c r="B12" s="80" t="str">
        <x:v>1.4.2</x:v>
      </x:c>
      <x:c r="C12" s="81" t="str">
        <x:v>Recuperação de calhas e rufos</x:v>
      </x:c>
      <x:c r="D12" s="81" t="n">
        <x:v>46286</x:v>
      </x:c>
      <x:c r="E12" s="81" t="n">
        <x:v>46311</x:v>
      </x:c>
      <x:c r="F12" s="82" t="n">
        <x:v>20</x:v>
      </x:c>
      <x:c r="G12" s="80" t="str">
        <x:v>Quantidade</x:v>
      </x:c>
      <x:c r="H12" s="84" t="n">
        <x:v>20</x:v>
      </x:c>
      <x:c r="I12" s="73" t="n">
        <x:v>610</x:v>
      </x:c>
      <x:c r="J12" s="73" t="n">
        <x:v>122</x:v>
      </x:c>
      <x:c r="K12" s="73" t="str">
        <x:v>m</x:v>
      </x:c>
      <x:c r="L12" s="73" t="str">
        <x:v>1.4.1</x:v>
      </x:c>
      <x:c r="M12" s="73" t="str">
        <x:v>Marina Alves</x:v>
      </x:c>
      <x:c r="N12" s="73" t="str">
        <x:v>Em andamento</x:v>
      </x:c>
    </x:row>
    <x:row r="13">
      <x:c r="A13" s="80" t="str">
        <x:v>Revitalização do Complexo Administrativo - Aracaju</x:v>
      </x:c>
      <x:c r="B13" s="80" t="str">
        <x:v>1.4.3</x:v>
      </x:c>
      <x:c r="C13" s="81" t="str">
        <x:v>Impermeabilização de áreas críticas</x:v>
      </x:c>
      <x:c r="D13" s="81" t="n">
        <x:v>46300</x:v>
      </x:c>
      <x:c r="E13" s="81" t="n">
        <x:v>46332</x:v>
      </x:c>
      <x:c r="F13" s="82" t="n">
        <x:v>25</x:v>
      </x:c>
      <x:c r="G13" s="80" t="str">
        <x:v>Quantidade</x:v>
      </x:c>
      <x:c r="H13" s="84" t="n">
        <x:v>0</x:v>
      </x:c>
      <x:c r="I13" s="73" t="n">
        <x:v>2100</x:v>
      </x:c>
      <x:c r="J13" s="73" t="str"/>
      <x:c r="K13" s="73" t="str">
        <x:v>m²</x:v>
      </x:c>
      <x:c r="L13" s="73" t="str">
        <x:v>1.4.2</x:v>
      </x:c>
      <x:c r="M13" s="73" t="str">
        <x:v>Marina Alves</x:v>
      </x:c>
      <x:c r="N13" s="73" t="str">
        <x:v>Não iniciada</x:v>
      </x:c>
    </x:row>
    <x:row r="14">
      <x:c r="A14" s="80" t="str">
        <x:v>Revitalização do Complexo Administrativo - Aracaju</x:v>
      </x:c>
      <x:c r="B14" s="80" t="str">
        <x:v>1.5.1</x:v>
      </x:c>
      <x:c r="C14" s="81" t="str">
        <x:v>Adequação de quadros elétricos</x:v>
      </x:c>
      <x:c r="D14" s="81" t="n">
        <x:v>46266</x:v>
      </x:c>
      <x:c r="E14" s="81" t="n">
        <x:v>46297</x:v>
      </x:c>
      <x:c r="F14" s="82" t="n">
        <x:v>24</x:v>
      </x:c>
      <x:c r="G14" s="80" t="str">
        <x:v>Percentual</x:v>
      </x:c>
      <x:c r="H14" s="84" t="n">
        <x:v>45</x:v>
      </x:c>
      <x:c r="I14" s="73" t="str"/>
      <x:c r="J14" s="73" t="str"/>
      <x:c r="K14" s="73" t="str"/>
      <x:c r="L14" s="73" t="str">
        <x:v>1.2.3</x:v>
      </x:c>
      <x:c r="M14" s="73" t="str">
        <x:v>Paulo Reis</x:v>
      </x:c>
      <x:c r="N14" s="73" t="str">
        <x:v>Em andamento</x:v>
      </x:c>
    </x:row>
    <x:row r="15">
      <x:c r="A15" s="80" t="str">
        <x:v>Revitalização do Complexo Administrativo - Aracaju</x:v>
      </x:c>
      <x:c r="B15" s="80" t="str">
        <x:v>1.5.2</x:v>
      </x:c>
      <x:c r="C15" s="81" t="str">
        <x:v>Distribuição elétrica, cabos e eletrodutos</x:v>
      </x:c>
      <x:c r="D15" s="81" t="n">
        <x:v>46279</x:v>
      </x:c>
      <x:c r="E15" s="81" t="n">
        <x:v>46339</x:v>
      </x:c>
      <x:c r="F15" s="82" t="n">
        <x:v>45</x:v>
      </x:c>
      <x:c r="G15" s="80" t="str">
        <x:v>Quantidade</x:v>
      </x:c>
      <x:c r="H15" s="84" t="n">
        <x:v>30</x:v>
      </x:c>
      <x:c r="I15" s="73" t="n">
        <x:v>4200</x:v>
      </x:c>
      <x:c r="J15" s="73" t="n">
        <x:v>1260</x:v>
      </x:c>
      <x:c r="K15" s="73" t="str">
        <x:v>m</x:v>
      </x:c>
      <x:c r="L15" s="73" t="str">
        <x:v>1.5.1</x:v>
      </x:c>
      <x:c r="M15" s="73" t="str">
        <x:v>Paulo Reis</x:v>
      </x:c>
      <x:c r="N15" s="73" t="str">
        <x:v>Em andamento</x:v>
      </x:c>
    </x:row>
    <x:row r="16">
      <x:c r="A16" s="73" t="str">
        <x:v>Revitalização do Complexo Administrativo - Aracaju</x:v>
      </x:c>
      <x:c r="B16" s="73" t="str">
        <x:v>1.5.3</x:v>
      </x:c>
      <x:c r="C16" s="73" t="str">
        <x:v>Substituição por luminárias LED</x:v>
      </x:c>
      <x:c r="D16" s="83" t="n">
        <x:v>46314</x:v>
      </x:c>
      <x:c r="E16" s="83" t="n">
        <x:v>46353</x:v>
      </x:c>
      <x:c r="F16" s="73" t="n">
        <x:v>30</x:v>
      </x:c>
      <x:c r="G16" s="73" t="str">
        <x:v>Quantidade</x:v>
      </x:c>
      <x:c r="H16" s="85" t="n">
        <x:v>10</x:v>
      </x:c>
      <x:c r="I16" s="73" t="n">
        <x:v>380</x:v>
      </x:c>
      <x:c r="J16" s="73" t="n">
        <x:v>38</x:v>
      </x:c>
      <x:c r="K16" s="73" t="str">
        <x:v>un</x:v>
      </x:c>
      <x:c r="L16" s="73" t="str">
        <x:v>1.5.2</x:v>
      </x:c>
      <x:c r="M16" s="73" t="str">
        <x:v>Paulo Reis</x:v>
      </x:c>
      <x:c r="N16" s="73" t="str">
        <x:v>Em andamento</x:v>
      </x:c>
    </x:row>
    <x:row r="17">
      <x:c r="A17" s="73" t="str">
        <x:v>Revitalização do Complexo Administrativo - Aracaju</x:v>
      </x:c>
      <x:c r="B17" s="73" t="str">
        <x:v>1.5.4</x:v>
      </x:c>
      <x:c r="C17" s="73" t="str">
        <x:v>Aterramento, equipotencialização e SPDA</x:v>
      </x:c>
      <x:c r="D17" s="83" t="n">
        <x:v>46335</x:v>
      </x:c>
      <x:c r="E17" s="83" t="n">
        <x:v>46360</x:v>
      </x:c>
      <x:c r="F17" s="73" t="n">
        <x:v>20</x:v>
      </x:c>
      <x:c r="G17" s="73" t="str">
        <x:v>Percentual</x:v>
      </x:c>
      <x:c r="H17" s="85" t="n">
        <x:v>0</x:v>
      </x:c>
      <x:c r="I17" s="73" t="str"/>
      <x:c r="J17" s="73" t="str"/>
      <x:c r="K17" s="73" t="str"/>
      <x:c r="L17" s="73" t="str">
        <x:v>1.5.2</x:v>
      </x:c>
      <x:c r="M17" s="73" t="str">
        <x:v>Paulo Reis</x:v>
      </x:c>
      <x:c r="N17" s="73" t="str">
        <x:v>Não iniciada</x:v>
      </x:c>
    </x:row>
    <x:row r="18">
      <x:c r="A18" s="73" t="str">
        <x:v>Revitalização do Complexo Administrativo - Aracaju</x:v>
      </x:c>
      <x:c r="B18" s="73" t="str">
        <x:v>1.6.1</x:v>
      </x:c>
      <x:c r="C18" s="73" t="str">
        <x:v>Adequação da rede de água</x:v>
      </x:c>
      <x:c r="D18" s="83" t="n">
        <x:v>46272</x:v>
      </x:c>
      <x:c r="E18" s="83" t="n">
        <x:v>46311</x:v>
      </x:c>
      <x:c r="F18" s="73" t="n">
        <x:v>30</x:v>
      </x:c>
      <x:c r="G18" s="73" t="str">
        <x:v>Quantidade</x:v>
      </x:c>
      <x:c r="H18" s="85" t="n">
        <x:v>45</x:v>
      </x:c>
      <x:c r="I18" s="73" t="n">
        <x:v>880</x:v>
      </x:c>
      <x:c r="J18" s="73" t="n">
        <x:v>396</x:v>
      </x:c>
      <x:c r="K18" s="73" t="str">
        <x:v>m</x:v>
      </x:c>
      <x:c r="L18" s="73" t="str">
        <x:v>1.2.3</x:v>
      </x:c>
      <x:c r="M18" s="73" t="str">
        <x:v>Rafael Nunes</x:v>
      </x:c>
      <x:c r="N18" s="73" t="str">
        <x:v>Em andamento</x:v>
      </x:c>
    </x:row>
    <x:row r="19">
      <x:c r="A19" s="73" t="str">
        <x:v>Revitalização do Complexo Administrativo - Aracaju</x:v>
      </x:c>
      <x:c r="B19" s="73" t="str">
        <x:v>1.6.2</x:v>
      </x:c>
      <x:c r="C19" s="73" t="str">
        <x:v>Adequação da rede sanitária</x:v>
      </x:c>
      <x:c r="D19" s="83" t="n">
        <x:v>46286</x:v>
      </x:c>
      <x:c r="E19" s="83" t="n">
        <x:v>46332</x:v>
      </x:c>
      <x:c r="F19" s="73" t="n">
        <x:v>35</x:v>
      </x:c>
      <x:c r="G19" s="73" t="str">
        <x:v>Quantidade</x:v>
      </x:c>
      <x:c r="H19" s="85" t="n">
        <x:v>30</x:v>
      </x:c>
      <x:c r="I19" s="73" t="n">
        <x:v>620</x:v>
      </x:c>
      <x:c r="J19" s="73" t="n">
        <x:v>186</x:v>
      </x:c>
      <x:c r="K19" s="73" t="str">
        <x:v>m</x:v>
      </x:c>
      <x:c r="L19" s="73" t="str">
        <x:v>1.6.1</x:v>
      </x:c>
      <x:c r="M19" s="73" t="str">
        <x:v>Rafael Nunes</x:v>
      </x:c>
      <x:c r="N19" s="73" t="str">
        <x:v>Em andamento</x:v>
      </x:c>
    </x:row>
    <x:row r="20">
      <x:c r="A20" s="73" t="str">
        <x:v>Revitalização do Complexo Administrativo - Aracaju</x:v>
      </x:c>
      <x:c r="B20" s="73" t="str">
        <x:v>1.6.3</x:v>
      </x:c>
      <x:c r="C20" s="73" t="str">
        <x:v>Louças, metais e acessórios</x:v>
      </x:c>
      <x:c r="D20" s="83" t="n">
        <x:v>46335</x:v>
      </x:c>
      <x:c r="E20" s="83" t="n">
        <x:v>46360</x:v>
      </x:c>
      <x:c r="F20" s="73" t="n">
        <x:v>20</x:v>
      </x:c>
      <x:c r="G20" s="73" t="str">
        <x:v>Quantidade</x:v>
      </x:c>
      <x:c r="H20" s="85" t="n">
        <x:v>0</x:v>
      </x:c>
      <x:c r="I20" s="73" t="n">
        <x:v>96</x:v>
      </x:c>
      <x:c r="J20" s="73" t="str"/>
      <x:c r="K20" s="73" t="str">
        <x:v>un</x:v>
      </x:c>
      <x:c r="L20" s="73" t="str">
        <x:v>1.6.2</x:v>
      </x:c>
      <x:c r="M20" s="73" t="str">
        <x:v>Rafael Nunes</x:v>
      </x:c>
      <x:c r="N20" s="73" t="str">
        <x:v>Não iniciada</x:v>
      </x:c>
    </x:row>
    <x:row r="21">
      <x:c r="A21" s="73" t="str">
        <x:v>Revitalização do Complexo Administrativo - Aracaju</x:v>
      </x:c>
      <x:c r="B21" s="73" t="str">
        <x:v>1.7.1</x:v>
      </x:c>
      <x:c r="C21" s="73" t="str">
        <x:v>Recomposição de alvenarias e vedações</x:v>
      </x:c>
      <x:c r="D21" s="83" t="n">
        <x:v>46293</x:v>
      </x:c>
      <x:c r="E21" s="83" t="n">
        <x:v>46332</x:v>
      </x:c>
      <x:c r="F21" s="73" t="n">
        <x:v>30</x:v>
      </x:c>
      <x:c r="G21" s="73" t="str">
        <x:v>Quantidade</x:v>
      </x:c>
      <x:c r="H21" s="85" t="n">
        <x:v>20</x:v>
      </x:c>
      <x:c r="I21" s="73" t="n">
        <x:v>1350</x:v>
      </x:c>
      <x:c r="J21" s="73" t="n">
        <x:v>270</x:v>
      </x:c>
      <x:c r="K21" s="73" t="str">
        <x:v>m²</x:v>
      </x:c>
      <x:c r="L21" s="73" t="str">
        <x:v>1.2.3</x:v>
      </x:c>
      <x:c r="M21" s="73" t="str">
        <x:v>Marcos Lima</x:v>
      </x:c>
      <x:c r="N21" s="73" t="str">
        <x:v>Em andamento</x:v>
      </x:c>
    </x:row>
    <x:row r="22">
      <x:c r="A22" s="73" t="str">
        <x:v>Revitalização do Complexo Administrativo - Aracaju</x:v>
      </x:c>
      <x:c r="B22" s="73" t="str">
        <x:v>1.7.2</x:v>
      </x:c>
      <x:c r="C22" s="73" t="str">
        <x:v>Revestimentos de paredes</x:v>
      </x:c>
      <x:c r="D22" s="83" t="n">
        <x:v>46314</x:v>
      </x:c>
      <x:c r="E22" s="83" t="n">
        <x:v>46360</x:v>
      </x:c>
      <x:c r="F22" s="73" t="n">
        <x:v>35</x:v>
      </x:c>
      <x:c r="G22" s="73" t="str">
        <x:v>Quantidade</x:v>
      </x:c>
      <x:c r="H22" s="85" t="n">
        <x:v>10</x:v>
      </x:c>
      <x:c r="I22" s="73" t="n">
        <x:v>4200</x:v>
      </x:c>
      <x:c r="J22" s="73" t="n">
        <x:v>420</x:v>
      </x:c>
      <x:c r="K22" s="73" t="str">
        <x:v>m²</x:v>
      </x:c>
      <x:c r="L22" s="73" t="str">
        <x:v>1.7.1</x:v>
      </x:c>
      <x:c r="M22" s="73" t="str">
        <x:v>Marina Alves</x:v>
      </x:c>
      <x:c r="N22" s="73" t="str">
        <x:v>Em andamento</x:v>
      </x:c>
    </x:row>
    <x:row r="23">
      <x:c r="A23" s="73" t="str">
        <x:v>Revitalização do Complexo Administrativo - Aracaju</x:v>
      </x:c>
      <x:c r="B23" s="73" t="str">
        <x:v>1.7.3</x:v>
      </x:c>
      <x:c r="C23" s="73" t="str">
        <x:v>Pisos e rodapés</x:v>
      </x:c>
      <x:c r="D23" s="83" t="n">
        <x:v>46335</x:v>
      </x:c>
      <x:c r="E23" s="83" t="n">
        <x:v>46374</x:v>
      </x:c>
      <x:c r="F23" s="73" t="n">
        <x:v>30</x:v>
      </x:c>
      <x:c r="G23" s="73" t="str">
        <x:v>Quantidade</x:v>
      </x:c>
      <x:c r="H23" s="85" t="n">
        <x:v>0</x:v>
      </x:c>
      <x:c r="I23" s="73" t="n">
        <x:v>5900</x:v>
      </x:c>
      <x:c r="J23" s="73" t="str"/>
      <x:c r="K23" s="73" t="str">
        <x:v>m²</x:v>
      </x:c>
      <x:c r="L23" s="73" t="str">
        <x:v>1.7.1</x:v>
      </x:c>
      <x:c r="M23" s="73" t="str">
        <x:v>Marina Alves</x:v>
      </x:c>
      <x:c r="N23" s="73" t="str">
        <x:v>Não iniciada</x:v>
      </x:c>
    </x:row>
    <x:row r="24">
      <x:c r="A24" s="73" t="str">
        <x:v>Revitalização do Complexo Administrativo - Aracaju</x:v>
      </x:c>
      <x:c r="B24" s="73" t="str">
        <x:v>1.7.4</x:v>
      </x:c>
      <x:c r="C24" s="73" t="str">
        <x:v>Forros e acabamentos de teto</x:v>
      </x:c>
      <x:c r="D24" s="83" t="n">
        <x:v>46342</x:v>
      </x:c>
      <x:c r="E24" s="83" t="n">
        <x:v>46395</x:v>
      </x:c>
      <x:c r="F24" s="73" t="n">
        <x:v>40</x:v>
      </x:c>
      <x:c r="G24" s="73" t="str">
        <x:v>Quantidade</x:v>
      </x:c>
      <x:c r="H24" s="85" t="n">
        <x:v>0</x:v>
      </x:c>
      <x:c r="I24" s="73" t="n">
        <x:v>3400</x:v>
      </x:c>
      <x:c r="J24" s="73" t="str"/>
      <x:c r="K24" s="73" t="str">
        <x:v>m²</x:v>
      </x:c>
      <x:c r="L24" s="73" t="str">
        <x:v>1.5.2</x:v>
      </x:c>
      <x:c r="M24" s="73" t="str">
        <x:v>Marina Alves</x:v>
      </x:c>
      <x:c r="N24" s="73" t="str">
        <x:v>Não iniciada</x:v>
      </x:c>
    </x:row>
    <x:row r="25">
      <x:c r="A25" s="73" t="str">
        <x:v>Revitalização do Complexo Administrativo - Aracaju</x:v>
      </x:c>
      <x:c r="B25" s="73" t="str">
        <x:v>1.7.5</x:v>
      </x:c>
      <x:c r="C25" s="73" t="str">
        <x:v>Esquadrias, portas e ferragens</x:v>
      </x:c>
      <x:c r="D25" s="83" t="n">
        <x:v>46357</x:v>
      </x:c>
      <x:c r="E25" s="83" t="n">
        <x:v>46409</x:v>
      </x:c>
      <x:c r="F25" s="73" t="n">
        <x:v>39</x:v>
      </x:c>
      <x:c r="G25" s="73" t="str">
        <x:v>Quantidade</x:v>
      </x:c>
      <x:c r="H25" s="85" t="n">
        <x:v>0</x:v>
      </x:c>
      <x:c r="I25" s="73" t="n">
        <x:v>164</x:v>
      </x:c>
      <x:c r="J25" s="73" t="str"/>
      <x:c r="K25" s="73" t="str">
        <x:v>un</x:v>
      </x:c>
      <x:c r="L25" s="73" t="str">
        <x:v>1.7.2</x:v>
      </x:c>
      <x:c r="M25" s="73" t="str">
        <x:v>Marina Alves</x:v>
      </x:c>
      <x:c r="N25" s="73" t="str">
        <x:v>Não iniciada</x:v>
      </x:c>
    </x:row>
    <x:row r="26">
      <x:c r="A26" s="73" t="str">
        <x:v>Revitalização do Complexo Administrativo - Aracaju</x:v>
      </x:c>
      <x:c r="B26" s="73" t="str">
        <x:v>1.7.6</x:v>
      </x:c>
      <x:c r="C26" s="73" t="str">
        <x:v>Pintura interna e externa</x:v>
      </x:c>
      <x:c r="D26" s="83" t="n">
        <x:v>46363</x:v>
      </x:c>
      <x:c r="E26" s="83" t="n">
        <x:v>46430</x:v>
      </x:c>
      <x:c r="F26" s="73" t="n">
        <x:v>50</x:v>
      </x:c>
      <x:c r="G26" s="73" t="str">
        <x:v>Quantidade</x:v>
      </x:c>
      <x:c r="H26" s="85" t="n">
        <x:v>0</x:v>
      </x:c>
      <x:c r="I26" s="73" t="n">
        <x:v>14200</x:v>
      </x:c>
      <x:c r="J26" s="73" t="str"/>
      <x:c r="K26" s="73" t="str">
        <x:v>m²</x:v>
      </x:c>
      <x:c r="L26" s="73" t="str">
        <x:v>1.7.2</x:v>
      </x:c>
      <x:c r="M26" s="73" t="str">
        <x:v>Marina Alves</x:v>
      </x:c>
      <x:c r="N26" s="73" t="str">
        <x:v>Não iniciada</x:v>
      </x:c>
    </x:row>
    <x:row r="27">
      <x:c r="A27" s="73" t="str">
        <x:v>Revitalização do Complexo Administrativo - Aracaju</x:v>
      </x:c>
      <x:c r="B27" s="73" t="str">
        <x:v>1.8.1</x:v>
      </x:c>
      <x:c r="C27" s="73" t="str">
        <x:v>Adequação de climatização e drenagem de condensado</x:v>
      </x:c>
      <x:c r="D27" s="83" t="n">
        <x:v>46349</x:v>
      </x:c>
      <x:c r="E27" s="83" t="n">
        <x:v>46402</x:v>
      </x:c>
      <x:c r="F27" s="73" t="n">
        <x:v>40</x:v>
      </x:c>
      <x:c r="G27" s="73" t="str">
        <x:v>Quantidade</x:v>
      </x:c>
      <x:c r="H27" s="85" t="n">
        <x:v>0</x:v>
      </x:c>
      <x:c r="I27" s="73" t="n">
        <x:v>48</x:v>
      </x:c>
      <x:c r="J27" s="73" t="str"/>
      <x:c r="K27" s="73" t="str">
        <x:v>un</x:v>
      </x:c>
      <x:c r="L27" s="73" t="str">
        <x:v>1.5.2</x:v>
      </x:c>
      <x:c r="M27" s="73" t="str">
        <x:v>Paulo Reis</x:v>
      </x:c>
      <x:c r="N27" s="73" t="str">
        <x:v>Não iniciada</x:v>
      </x:c>
    </x:row>
    <x:row r="28">
      <x:c r="A28" s="73" t="str">
        <x:v>Revitalização do Complexo Administrativo - Aracaju</x:v>
      </x:c>
      <x:c r="B28" s="73" t="str">
        <x:v>1.9.1</x:v>
      </x:c>
      <x:c r="C28" s="73" t="str">
        <x:v>Testes integrados e comissionamento</x:v>
      </x:c>
      <x:c r="D28" s="83" t="n">
        <x:v>46419</x:v>
      </x:c>
      <x:c r="E28" s="83" t="n">
        <x:v>46444</x:v>
      </x:c>
      <x:c r="F28" s="73" t="n">
        <x:v>20</x:v>
      </x:c>
      <x:c r="G28" s="73" t="str">
        <x:v>Percentual</x:v>
      </x:c>
      <x:c r="H28" s="85" t="n">
        <x:v>0</x:v>
      </x:c>
      <x:c r="I28" s="73" t="str"/>
      <x:c r="J28" s="73" t="str"/>
      <x:c r="K28" s="73" t="str"/>
      <x:c r="L28" s="73" t="str">
        <x:v>1.5.4,1.6.3,1.8.1</x:v>
      </x:c>
      <x:c r="M28" s="73" t="str">
        <x:v>Carlos Mendes</x:v>
      </x:c>
      <x:c r="N28" s="73" t="str">
        <x:v>Não iniciada</x:v>
      </x:c>
    </x:row>
    <x:row r="29">
      <x:c r="A29" s="73" t="str">
        <x:v>Revitalização do Complexo Administrativo - Aracaju</x:v>
      </x:c>
      <x:c r="B29" s="73" t="str">
        <x:v>1.9.2</x:v>
      </x:c>
      <x:c r="C29" s="73" t="str">
        <x:v>As built, manuais e documentação final</x:v>
      </x:c>
      <x:c r="D29" s="83" t="n">
        <x:v>46433</x:v>
      </x:c>
      <x:c r="E29" s="83" t="n">
        <x:v>46458</x:v>
      </x:c>
      <x:c r="F29" s="73" t="n">
        <x:v>20</x:v>
      </x:c>
      <x:c r="G29" s="73" t="str">
        <x:v>Percentual</x:v>
      </x:c>
      <x:c r="H29" s="85" t="n">
        <x:v>0</x:v>
      </x:c>
      <x:c r="I29" s="73" t="str"/>
      <x:c r="J29" s="73" t="str"/>
      <x:c r="K29" s="73" t="str"/>
      <x:c r="L29" s="73" t="str">
        <x:v>1.9.1</x:v>
      </x:c>
      <x:c r="M29" s="73" t="str">
        <x:v>Ana Souza</x:v>
      </x:c>
      <x:c r="N29" s="73" t="str">
        <x:v>Não iniciada</x:v>
      </x:c>
    </x:row>
    <x:row r="30">
      <x:c r="A30" s="73" t="str">
        <x:v>Revitalização do Complexo Administrativo - Aracaju</x:v>
      </x:c>
      <x:c r="B30" s="73" t="str">
        <x:v>1.9.3</x:v>
      </x:c>
      <x:c r="C30" s="73" t="str">
        <x:v>Limpeza final e desmobilização</x:v>
      </x:c>
      <x:c r="D30" s="83" t="n">
        <x:v>46454</x:v>
      </x:c>
      <x:c r="E30" s="83" t="n">
        <x:v>46465</x:v>
      </x:c>
      <x:c r="F30" s="73" t="n">
        <x:v>10</x:v>
      </x:c>
      <x:c r="G30" s="73" t="str">
        <x:v>Percentual</x:v>
      </x:c>
      <x:c r="H30" s="85" t="n">
        <x:v>0</x:v>
      </x:c>
      <x:c r="I30" s="73" t="str"/>
      <x:c r="J30" s="73" t="str"/>
      <x:c r="K30" s="73" t="str"/>
      <x:c r="L30" s="73" t="str">
        <x:v>1.7.6</x:v>
      </x:c>
      <x:c r="M30" s="73" t="str">
        <x:v>Marcos Lima</x:v>
      </x:c>
      <x:c r="N30" s="73" t="str">
        <x:v>Não iniciada</x:v>
      </x:c>
    </x:row>
    <x:row r="31">
      <x:c r="A31" s="73" t="str">
        <x:v>Revitalização do Complexo Administrativo - Aracaju</x:v>
      </x:c>
      <x:c r="B31" s="73" t="str">
        <x:v>1.9.4</x:v>
      </x:c>
      <x:c r="C31" s="73" t="str">
        <x:v>Entrega técnica e aceite</x:v>
      </x:c>
      <x:c r="D31" s="83" t="n">
        <x:v>46468</x:v>
      </x:c>
      <x:c r="E31" s="83" t="n">
        <x:v>46477</x:v>
      </x:c>
      <x:c r="F31" s="73" t="n">
        <x:v>8</x:v>
      </x:c>
      <x:c r="G31" s="73" t="str">
        <x:v>Percentual</x:v>
      </x:c>
      <x:c r="H31" s="85" t="n">
        <x:v>0</x:v>
      </x:c>
      <x:c r="I31" s="73" t="str"/>
      <x:c r="J31" s="73" t="str"/>
      <x:c r="K31" s="73" t="str"/>
      <x:c r="L31" s="73" t="str">
        <x:v>1.9.2,1.9.3</x:v>
      </x:c>
      <x:c r="M31" s="73" t="str">
        <x:v>Carlos Mendes</x:v>
      </x:c>
      <x:c r="N31" s="73" t="str">
        <x:v>Não iniciada</x:v>
      </x:c>
    </x:row>
    <x:row r="32">
      <x:c r="A32" s="73" t="str">
        <x:v>Pavimentação Rodoviária SE-100 - Trecho Demonstrativo</x:v>
      </x:c>
      <x:c r="B32" s="73" t="str">
        <x:v>2.1.1</x:v>
      </x:c>
      <x:c r="C32" s="73" t="str">
        <x:v>Planejamento executivo e plano de ataque</x:v>
      </x:c>
      <x:c r="D32" s="83" t="n">
        <x:v>46188</x:v>
      </x:c>
      <x:c r="E32" s="83" t="n">
        <x:v>46199</x:v>
      </x:c>
      <x:c r="F32" s="73" t="n">
        <x:v>10</x:v>
      </x:c>
      <x:c r="G32" s="73" t="str">
        <x:v>Percentual</x:v>
      </x:c>
      <x:c r="H32" s="85" t="n">
        <x:v>100</x:v>
      </x:c>
      <x:c r="I32" s="73" t="str"/>
      <x:c r="J32" s="73" t="str"/>
      <x:c r="K32" s="73" t="str"/>
      <x:c r="L32" s="73" t="str"/>
      <x:c r="M32" s="73" t="str">
        <x:v>João Ferreira</x:v>
      </x:c>
      <x:c r="N32" s="73" t="str">
        <x:v>Concluída</x:v>
      </x:c>
    </x:row>
    <x:row r="33">
      <x:c r="A33" s="73" t="str">
        <x:v>Pavimentação Rodoviária SE-100 - Trecho Demonstrativo</x:v>
      </x:c>
      <x:c r="B33" s="73" t="str">
        <x:v>2.1.2</x:v>
      </x:c>
      <x:c r="C33" s="73" t="str">
        <x:v>Topografia inicial e implantação de marcos</x:v>
      </x:c>
      <x:c r="D33" s="83" t="n">
        <x:v>46188</x:v>
      </x:c>
      <x:c r="E33" s="83" t="n">
        <x:v>46206</x:v>
      </x:c>
      <x:c r="F33" s="73" t="n">
        <x:v>15</x:v>
      </x:c>
      <x:c r="G33" s="73" t="str">
        <x:v>Percentual</x:v>
      </x:c>
      <x:c r="H33" s="85" t="n">
        <x:v>100</x:v>
      </x:c>
      <x:c r="I33" s="73" t="str"/>
      <x:c r="J33" s="73" t="str"/>
      <x:c r="K33" s="73" t="str"/>
      <x:c r="L33" s="73" t="str"/>
      <x:c r="M33" s="73" t="str">
        <x:v>João Ferreira</x:v>
      </x:c>
      <x:c r="N33" s="73" t="str">
        <x:v>Concluída</x:v>
      </x:c>
    </x:row>
    <x:row r="34">
      <x:c r="A34" s="73" t="str">
        <x:v>Pavimentação Rodoviária SE-100 - Trecho Demonstrativo</x:v>
      </x:c>
      <x:c r="B34" s="73" t="str">
        <x:v>2.1.3</x:v>
      </x:c>
      <x:c r="C34" s="73" t="str">
        <x:v>Licenças, interferências e liberações</x:v>
      </x:c>
      <x:c r="D34" s="83" t="n">
        <x:v>46188</x:v>
      </x:c>
      <x:c r="E34" s="83" t="n">
        <x:v>46220</x:v>
      </x:c>
      <x:c r="F34" s="73" t="n">
        <x:v>25</x:v>
      </x:c>
      <x:c r="G34" s="73" t="str">
        <x:v>Percentual</x:v>
      </x:c>
      <x:c r="H34" s="85" t="n">
        <x:v>100</x:v>
      </x:c>
      <x:c r="I34" s="73" t="str"/>
      <x:c r="J34" s="73" t="str"/>
      <x:c r="K34" s="73" t="str"/>
      <x:c r="L34" s="73" t="str"/>
      <x:c r="M34" s="73" t="str">
        <x:v>Luciano Melo</x:v>
      </x:c>
      <x:c r="N34" s="73" t="str">
        <x:v>Concluída</x:v>
      </x:c>
    </x:row>
    <x:row r="35">
      <x:c r="A35" s="73" t="str">
        <x:v>Pavimentação Rodoviária SE-100 - Trecho Demonstrativo</x:v>
      </x:c>
      <x:c r="B35" s="73" t="str">
        <x:v>2.2.1</x:v>
      </x:c>
      <x:c r="C35" s="73" t="str">
        <x:v>Mobilização do canteiro e usina de apoio</x:v>
      </x:c>
      <x:c r="D35" s="83" t="n">
        <x:v>46188</x:v>
      </x:c>
      <x:c r="E35" s="83" t="n">
        <x:v>46213</x:v>
      </x:c>
      <x:c r="F35" s="73" t="n">
        <x:v>20</x:v>
      </x:c>
      <x:c r="G35" s="73" t="str">
        <x:v>Percentual</x:v>
      </x:c>
      <x:c r="H35" s="85" t="n">
        <x:v>100</x:v>
      </x:c>
      <x:c r="I35" s="73" t="str"/>
      <x:c r="J35" s="73" t="str"/>
      <x:c r="K35" s="73" t="str"/>
      <x:c r="L35" s="73" t="str"/>
      <x:c r="M35" s="73" t="str">
        <x:v>João Ferreira</x:v>
      </x:c>
      <x:c r="N35" s="73" t="str">
        <x:v>Concluída</x:v>
      </x:c>
    </x:row>
    <x:row r="36">
      <x:c r="A36" s="73" t="str">
        <x:v>Pavimentação Rodoviária SE-100 - Trecho Demonstrativo</x:v>
      </x:c>
      <x:c r="B36" s="73" t="str">
        <x:v>2.2.2</x:v>
      </x:c>
      <x:c r="C36" s="73" t="str">
        <x:v>Sinalização provisória e desvios de tráfego</x:v>
      </x:c>
      <x:c r="D36" s="83" t="n">
        <x:v>46195</x:v>
      </x:c>
      <x:c r="E36" s="83" t="n">
        <x:v>46220</x:v>
      </x:c>
      <x:c r="F36" s="73" t="n">
        <x:v>20</x:v>
      </x:c>
      <x:c r="G36" s="73" t="str">
        <x:v>Percentual</x:v>
      </x:c>
      <x:c r="H36" s="85" t="n">
        <x:v>100</x:v>
      </x:c>
      <x:c r="I36" s="73" t="str"/>
      <x:c r="J36" s="73" t="str"/>
      <x:c r="K36" s="73" t="str"/>
      <x:c r="L36" s="73" t="str">
        <x:v>2.2.1</x:v>
      </x:c>
      <x:c r="M36" s="73" t="str">
        <x:v>Bruno Dias</x:v>
      </x:c>
      <x:c r="N36" s="73" t="str">
        <x:v>Concluída</x:v>
      </x:c>
    </x:row>
    <x:row r="37">
      <x:c r="A37" s="73" t="str">
        <x:v>Pavimentação Rodoviária SE-100 - Trecho Demonstrativo</x:v>
      </x:c>
      <x:c r="B37" s="73" t="str">
        <x:v>2.2.3</x:v>
      </x:c>
      <x:c r="C37" s="73" t="str">
        <x:v>Limpeza, desmatamento e destocamento</x:v>
      </x:c>
      <x:c r="D37" s="83" t="n">
        <x:v>46209</x:v>
      </x:c>
      <x:c r="E37" s="83" t="n">
        <x:v>46241</x:v>
      </x:c>
      <x:c r="F37" s="73" t="n">
        <x:v>25</x:v>
      </x:c>
      <x:c r="G37" s="73" t="str">
        <x:v>Quantidade</x:v>
      </x:c>
      <x:c r="H37" s="85" t="n">
        <x:v>100</x:v>
      </x:c>
      <x:c r="I37" s="73" t="n">
        <x:v>440000</x:v>
      </x:c>
      <x:c r="J37" s="73" t="n">
        <x:v>440000</x:v>
      </x:c>
      <x:c r="K37" s="73" t="str">
        <x:v>m²</x:v>
      </x:c>
      <x:c r="L37" s="73" t="str">
        <x:v>2.2.2</x:v>
      </x:c>
      <x:c r="M37" s="73" t="str">
        <x:v>Eduardo Costa</x:v>
      </x:c>
      <x:c r="N37" s="73" t="str">
        <x:v>Concluída</x:v>
      </x:c>
    </x:row>
    <x:row r="38">
      <x:c r="A38" s="73" t="str">
        <x:v>Pavimentação Rodoviária SE-100 - Trecho Demonstrativo</x:v>
      </x:c>
      <x:c r="B38" s="73" t="str">
        <x:v>2.3.1</x:v>
      </x:c>
      <x:c r="C38" s="73" t="str">
        <x:v>Escavação, carga e transporte de material</x:v>
      </x:c>
      <x:c r="D38" s="83" t="n">
        <x:v>46223</x:v>
      </x:c>
      <x:c r="E38" s="83" t="n">
        <x:v>46339</x:v>
      </x:c>
      <x:c r="F38" s="73" t="n">
        <x:v>85</x:v>
      </x:c>
      <x:c r="G38" s="73" t="str">
        <x:v>Quantidade</x:v>
      </x:c>
      <x:c r="H38" s="85" t="n">
        <x:v>70</x:v>
      </x:c>
      <x:c r="I38" s="73" t="n">
        <x:v>48000</x:v>
      </x:c>
      <x:c r="J38" s="73" t="n">
        <x:v>33600</x:v>
      </x:c>
      <x:c r="K38" s="73" t="str">
        <x:v>m³</x:v>
      </x:c>
      <x:c r="L38" s="73" t="str">
        <x:v>2.2.3</x:v>
      </x:c>
      <x:c r="M38" s="73" t="str">
        <x:v>Eduardo Costa</x:v>
      </x:c>
      <x:c r="N38" s="73" t="str">
        <x:v>Em andamento</x:v>
      </x:c>
    </x:row>
    <x:row r="39">
      <x:c r="A39" s="73" t="str">
        <x:v>Pavimentação Rodoviária SE-100 - Trecho Demonstrativo</x:v>
      </x:c>
      <x:c r="B39" s="73" t="str">
        <x:v>2.3.2</x:v>
      </x:c>
      <x:c r="C39" s="73" t="str">
        <x:v>Execução e compactação de aterros</x:v>
      </x:c>
      <x:c r="D39" s="83" t="n">
        <x:v>46237</x:v>
      </x:c>
      <x:c r="E39" s="83" t="n">
        <x:v>46374</x:v>
      </x:c>
      <x:c r="F39" s="73" t="n">
        <x:v>100</x:v>
      </x:c>
      <x:c r="G39" s="73" t="str">
        <x:v>Quantidade</x:v>
      </x:c>
      <x:c r="H39" s="85" t="n">
        <x:v>62</x:v>
      </x:c>
      <x:c r="I39" s="73" t="n">
        <x:v>36000</x:v>
      </x:c>
      <x:c r="J39" s="73" t="n">
        <x:v>22320</x:v>
      </x:c>
      <x:c r="K39" s="73" t="str">
        <x:v>m³</x:v>
      </x:c>
      <x:c r="L39" s="73" t="str">
        <x:v>2.3.1</x:v>
      </x:c>
      <x:c r="M39" s="73" t="str">
        <x:v>Eduardo Costa</x:v>
      </x:c>
      <x:c r="N39" s="73" t="str">
        <x:v>Em andamento</x:v>
      </x:c>
    </x:row>
    <x:row r="40">
      <x:c r="A40" s="73" t="str">
        <x:v>Pavimentação Rodoviária SE-100 - Trecho Demonstrativo</x:v>
      </x:c>
      <x:c r="B40" s="73" t="str">
        <x:v>2.3.3</x:v>
      </x:c>
      <x:c r="C40" s="73" t="str">
        <x:v>Regularização e compactação do subleito</x:v>
      </x:c>
      <x:c r="D40" s="83" t="n">
        <x:v>46300</x:v>
      </x:c>
      <x:c r="E40" s="83" t="n">
        <x:v>46402</x:v>
      </x:c>
      <x:c r="F40" s="73" t="n">
        <x:v>75</x:v>
      </x:c>
      <x:c r="G40" s="73" t="str">
        <x:v>Quantidade</x:v>
      </x:c>
      <x:c r="H40" s="85" t="n">
        <x:v>35</x:v>
      </x:c>
      <x:c r="I40" s="73" t="n">
        <x:v>220000</x:v>
      </x:c>
      <x:c r="J40" s="73" t="n">
        <x:v>77000</x:v>
      </x:c>
      <x:c r="K40" s="73" t="str">
        <x:v>m²</x:v>
      </x:c>
      <x:c r="L40" s="73" t="str">
        <x:v>2.3.2</x:v>
      </x:c>
      <x:c r="M40" s="73" t="str">
        <x:v>Eduardo Costa</x:v>
      </x:c>
      <x:c r="N40" s="73" t="str">
        <x:v>Em andamento</x:v>
      </x:c>
    </x:row>
    <x:row r="41">
      <x:c r="A41" s="73" t="str">
        <x:v>Pavimentação Rodoviária SE-100 - Trecho Demonstrativo</x:v>
      </x:c>
      <x:c r="B41" s="73" t="str">
        <x:v>2.4.1</x:v>
      </x:c>
      <x:c r="C41" s="73" t="str">
        <x:v>Bueiros tubulares e celulares</x:v>
      </x:c>
      <x:c r="D41" s="83" t="n">
        <x:v>46230</x:v>
      </x:c>
      <x:c r="E41" s="83" t="n">
        <x:v>46360</x:v>
      </x:c>
      <x:c r="F41" s="73" t="n">
        <x:v>95</x:v>
      </x:c>
      <x:c r="G41" s="73" t="str">
        <x:v>Quantidade</x:v>
      </x:c>
      <x:c r="H41" s="85" t="n">
        <x:v>55</x:v>
      </x:c>
      <x:c r="I41" s="73" t="n">
        <x:v>18</x:v>
      </x:c>
      <x:c r="J41" s="73" t="n">
        <x:v>10</x:v>
      </x:c>
      <x:c r="K41" s="73" t="str">
        <x:v>un</x:v>
      </x:c>
      <x:c r="L41" s="73" t="str">
        <x:v>2.2.3</x:v>
      </x:c>
      <x:c r="M41" s="73" t="str">
        <x:v>Luciano Melo</x:v>
      </x:c>
      <x:c r="N41" s="73" t="str">
        <x:v>Em andamento</x:v>
      </x:c>
    </x:row>
    <x:row r="42">
      <x:c r="A42" s="73" t="str">
        <x:v>Pavimentação Rodoviária SE-100 - Trecho Demonstrativo</x:v>
      </x:c>
      <x:c r="B42" s="73" t="str">
        <x:v>2.4.2</x:v>
      </x:c>
      <x:c r="C42" s="73" t="str">
        <x:v>Valetas, sarjetas e descidas d'água</x:v>
      </x:c>
      <x:c r="D42" s="83" t="n">
        <x:v>46266</x:v>
      </x:c>
      <x:c r="E42" s="83" t="n">
        <x:v>46430</x:v>
      </x:c>
      <x:c r="F42" s="73" t="n">
        <x:v>119</x:v>
      </x:c>
      <x:c r="G42" s="73" t="str">
        <x:v>Quantidade</x:v>
      </x:c>
      <x:c r="H42" s="85" t="n">
        <x:v>35</x:v>
      </x:c>
      <x:c r="I42" s="73" t="n">
        <x:v>18500</x:v>
      </x:c>
      <x:c r="J42" s="73" t="n">
        <x:v>6475</x:v>
      </x:c>
      <x:c r="K42" s="73" t="str">
        <x:v>m</x:v>
      </x:c>
      <x:c r="L42" s="73" t="str">
        <x:v>2.4.1</x:v>
      </x:c>
      <x:c r="M42" s="73" t="str">
        <x:v>Luciano Melo</x:v>
      </x:c>
      <x:c r="N42" s="73" t="str">
        <x:v>Em andamento</x:v>
      </x:c>
    </x:row>
    <x:row r="43">
      <x:c r="A43" s="73" t="str">
        <x:v>Pavimentação Rodoviária SE-100 - Trecho Demonstrativo</x:v>
      </x:c>
      <x:c r="B43" s="73" t="str">
        <x:v>2.4.3</x:v>
      </x:c>
      <x:c r="C43" s="73" t="str">
        <x:v>Drenagem profunda e subdrenos</x:v>
      </x:c>
      <x:c r="D43" s="83" t="n">
        <x:v>46286</x:v>
      </x:c>
      <x:c r="E43" s="83" t="n">
        <x:v>46416</x:v>
      </x:c>
      <x:c r="F43" s="73" t="n">
        <x:v>95</x:v>
      </x:c>
      <x:c r="G43" s="73" t="str">
        <x:v>Quantidade</x:v>
      </x:c>
      <x:c r="H43" s="85" t="n">
        <x:v>20</x:v>
      </x:c>
      <x:c r="I43" s="73" t="n">
        <x:v>6200</x:v>
      </x:c>
      <x:c r="J43" s="73" t="n">
        <x:v>1240</x:v>
      </x:c>
      <x:c r="K43" s="73" t="str">
        <x:v>m</x:v>
      </x:c>
      <x:c r="L43" s="73" t="str">
        <x:v>2.4.1</x:v>
      </x:c>
      <x:c r="M43" s="73" t="str">
        <x:v>Luciano Melo</x:v>
      </x:c>
      <x:c r="N43" s="73" t="str">
        <x:v>Em andamento</x:v>
      </x:c>
    </x:row>
    <x:row r="44">
      <x:c r="A44" s="73" t="str">
        <x:v>Pavimentação Rodoviária SE-100 - Trecho Demonstrativo</x:v>
      </x:c>
      <x:c r="B44" s="73" t="str">
        <x:v>2.5.1</x:v>
      </x:c>
      <x:c r="C44" s="73" t="str">
        <x:v>Sub-base estabilizada</x:v>
      </x:c>
      <x:c r="D44" s="83" t="n">
        <x:v>46328</x:v>
      </x:c>
      <x:c r="E44" s="83" t="n">
        <x:v>46444</x:v>
      </x:c>
      <x:c r="F44" s="73" t="n">
        <x:v>85</x:v>
      </x:c>
      <x:c r="G44" s="73" t="str">
        <x:v>Quantidade</x:v>
      </x:c>
      <x:c r="H44" s="85" t="n">
        <x:v>25</x:v>
      </x:c>
      <x:c r="I44" s="73" t="n">
        <x:v>15500</x:v>
      </x:c>
      <x:c r="J44" s="73" t="n">
        <x:v>3875</x:v>
      </x:c>
      <x:c r="K44" s="73" t="str">
        <x:v>m³</x:v>
      </x:c>
      <x:c r="L44" s="73" t="str">
        <x:v>2.3.3</x:v>
      </x:c>
      <x:c r="M44" s="73" t="str">
        <x:v>Eduardo Costa</x:v>
      </x:c>
      <x:c r="N44" s="73" t="str">
        <x:v>Em andamento</x:v>
      </x:c>
    </x:row>
    <x:row r="45">
      <x:c r="A45" s="73" t="str">
        <x:v>Pavimentação Rodoviária SE-100 - Trecho Demonstrativo</x:v>
      </x:c>
      <x:c r="B45" s="73" t="str">
        <x:v>2.5.2</x:v>
      </x:c>
      <x:c r="C45" s="73" t="str">
        <x:v>Base de brita graduada simples</x:v>
      </x:c>
      <x:c r="D45" s="83" t="n">
        <x:v>46363</x:v>
      </x:c>
      <x:c r="E45" s="83" t="n">
        <x:v>46477</x:v>
      </x:c>
      <x:c r="F45" s="73" t="n">
        <x:v>83</x:v>
      </x:c>
      <x:c r="G45" s="73" t="str">
        <x:v>Quantidade</x:v>
      </x:c>
      <x:c r="H45" s="85" t="n">
        <x:v>10</x:v>
      </x:c>
      <x:c r="I45" s="73" t="n">
        <x:v>12300</x:v>
      </x:c>
      <x:c r="J45" s="73" t="n">
        <x:v>1230</x:v>
      </x:c>
      <x:c r="K45" s="73" t="str">
        <x:v>m³</x:v>
      </x:c>
      <x:c r="L45" s="73" t="str">
        <x:v>2.5.1</x:v>
      </x:c>
      <x:c r="M45" s="73" t="str">
        <x:v>Sérgio Santos</x:v>
      </x:c>
      <x:c r="N45" s="73" t="str">
        <x:v>Em andamento</x:v>
      </x:c>
    </x:row>
    <x:row r="46">
      <x:c r="A46" s="73" t="str">
        <x:v>Pavimentação Rodoviária SE-100 - Trecho Demonstrativo</x:v>
      </x:c>
      <x:c r="B46" s="73" t="str">
        <x:v>2.5.3</x:v>
      </x:c>
      <x:c r="C46" s="73" t="str">
        <x:v>Imprimação da base</x:v>
      </x:c>
      <x:c r="D46" s="83" t="n">
        <x:v>46405</x:v>
      </x:c>
      <x:c r="E46" s="83" t="n">
        <x:v>46493</x:v>
      </x:c>
      <x:c r="F46" s="73" t="n">
        <x:v>65</x:v>
      </x:c>
      <x:c r="G46" s="73" t="str">
        <x:v>Quantidade</x:v>
      </x:c>
      <x:c r="H46" s="85" t="n">
        <x:v>0</x:v>
      </x:c>
      <x:c r="I46" s="73" t="n">
        <x:v>220000</x:v>
      </x:c>
      <x:c r="J46" s="73" t="str"/>
      <x:c r="K46" s="73" t="str">
        <x:v>m²</x:v>
      </x:c>
      <x:c r="L46" s="73" t="str">
        <x:v>2.5.2</x:v>
      </x:c>
      <x:c r="M46" s="73" t="str">
        <x:v>Sérgio Santos</x:v>
      </x:c>
      <x:c r="N46" s="73" t="str">
        <x:v>Não iniciada</x:v>
      </x:c>
    </x:row>
    <x:row r="47">
      <x:c r="A47" s="73" t="str">
        <x:v>Pavimentação Rodoviária SE-100 - Trecho Demonstrativo</x:v>
      </x:c>
      <x:c r="B47" s="73" t="str">
        <x:v>2.5.4</x:v>
      </x:c>
      <x:c r="C47" s="73" t="str">
        <x:v>Pintura de ligação</x:v>
      </x:c>
      <x:c r="D47" s="83" t="n">
        <x:v>46419</x:v>
      </x:c>
      <x:c r="E47" s="83" t="n">
        <x:v>46521</x:v>
      </x:c>
      <x:c r="F47" s="73" t="n">
        <x:v>75</x:v>
      </x:c>
      <x:c r="G47" s="73" t="str">
        <x:v>Quantidade</x:v>
      </x:c>
      <x:c r="H47" s="85" t="n">
        <x:v>0</x:v>
      </x:c>
      <x:c r="I47" s="73" t="n">
        <x:v>220000</x:v>
      </x:c>
      <x:c r="J47" s="73" t="str"/>
      <x:c r="K47" s="73" t="str">
        <x:v>m²</x:v>
      </x:c>
      <x:c r="L47" s="73" t="str">
        <x:v>2.5.3</x:v>
      </x:c>
      <x:c r="M47" s="73" t="str">
        <x:v>Sérgio Santos</x:v>
      </x:c>
      <x:c r="N47" s="73" t="str">
        <x:v>Não iniciada</x:v>
      </x:c>
    </x:row>
    <x:row r="48">
      <x:c r="A48" s="73" t="str">
        <x:v>Pavimentação Rodoviária SE-100 - Trecho Demonstrativo</x:v>
      </x:c>
      <x:c r="B48" s="73" t="str">
        <x:v>2.5.5</x:v>
      </x:c>
      <x:c r="C48" s="73" t="str">
        <x:v>Revestimento CBUQ faixa C</x:v>
      </x:c>
      <x:c r="D48" s="83" t="n">
        <x:v>46433</x:v>
      </x:c>
      <x:c r="E48" s="83" t="n">
        <x:v>46535</x:v>
      </x:c>
      <x:c r="F48" s="73" t="n">
        <x:v>75</x:v>
      </x:c>
      <x:c r="G48" s="73" t="str">
        <x:v>Quantidade</x:v>
      </x:c>
      <x:c r="H48" s="85" t="n">
        <x:v>0</x:v>
      </x:c>
      <x:c r="I48" s="73" t="n">
        <x:v>7800</x:v>
      </x:c>
      <x:c r="J48" s="73" t="str"/>
      <x:c r="K48" s="73" t="str">
        <x:v>t</x:v>
      </x:c>
      <x:c r="L48" s="73" t="str">
        <x:v>2.5.4</x:v>
      </x:c>
      <x:c r="M48" s="73" t="str">
        <x:v>Sérgio Santos</x:v>
      </x:c>
      <x:c r="N48" s="73" t="str">
        <x:v>Não iniciada</x:v>
      </x:c>
    </x:row>
    <x:row r="49">
      <x:c r="A49" s="73" t="str">
        <x:v>Pavimentação Rodoviária SE-100 - Trecho Demonstrativo</x:v>
      </x:c>
      <x:c r="B49" s="73" t="str">
        <x:v>2.6.1</x:v>
      </x:c>
      <x:c r="C49" s="73" t="str">
        <x:v>Conformação e revestimento de acostamentos</x:v>
      </x:c>
      <x:c r="D49" s="83" t="n">
        <x:v>46419</x:v>
      </x:c>
      <x:c r="E49" s="83" t="n">
        <x:v>46521</x:v>
      </x:c>
      <x:c r="F49" s="73" t="n">
        <x:v>75</x:v>
      </x:c>
      <x:c r="G49" s="73" t="str">
        <x:v>Quantidade</x:v>
      </x:c>
      <x:c r="H49" s="85" t="n">
        <x:v>0</x:v>
      </x:c>
      <x:c r="I49" s="73" t="n">
        <x:v>88000</x:v>
      </x:c>
      <x:c r="J49" s="73" t="str"/>
      <x:c r="K49" s="73" t="str">
        <x:v>m²</x:v>
      </x:c>
      <x:c r="L49" s="73" t="str">
        <x:v>2.5.2</x:v>
      </x:c>
      <x:c r="M49" s="73" t="str">
        <x:v>Eduardo Costa</x:v>
      </x:c>
      <x:c r="N49" s="73" t="str">
        <x:v>Não iniciada</x:v>
      </x:c>
    </x:row>
    <x:row r="50">
      <x:c r="A50" s="73" t="str">
        <x:v>Pavimentação Rodoviária SE-100 - Trecho Demonstrativo</x:v>
      </x:c>
      <x:c r="B50" s="73" t="str">
        <x:v>2.6.2</x:v>
      </x:c>
      <x:c r="C50" s="73" t="str">
        <x:v>Adequação de acessos e interseções</x:v>
      </x:c>
      <x:c r="D50" s="83" t="n">
        <x:v>46433</x:v>
      </x:c>
      <x:c r="E50" s="83" t="n">
        <x:v>46535</x:v>
      </x:c>
      <x:c r="F50" s="73" t="n">
        <x:v>75</x:v>
      </x:c>
      <x:c r="G50" s="73" t="str">
        <x:v>Quantidade</x:v>
      </x:c>
      <x:c r="H50" s="85" t="n">
        <x:v>0</x:v>
      </x:c>
      <x:c r="I50" s="73" t="n">
        <x:v>14</x:v>
      </x:c>
      <x:c r="J50" s="73" t="str"/>
      <x:c r="K50" s="73" t="str">
        <x:v>un</x:v>
      </x:c>
      <x:c r="L50" s="73" t="str">
        <x:v>2.5.2</x:v>
      </x:c>
      <x:c r="M50" s="73" t="str">
        <x:v>Eduardo Costa</x:v>
      </x:c>
      <x:c r="N50" s="73" t="str">
        <x:v>Não iniciada</x:v>
      </x:c>
    </x:row>
    <x:row r="51">
      <x:c r="A51" s="73" t="str">
        <x:v>Pavimentação Rodoviária SE-100 - Trecho Demonstrativo</x:v>
      </x:c>
      <x:c r="B51" s="73" t="str">
        <x:v>2.7.1</x:v>
      </x:c>
      <x:c r="C51" s="73" t="str">
        <x:v>Sinalização horizontal</x:v>
      </x:c>
      <x:c r="D51" s="83" t="n">
        <x:v>46510</x:v>
      </x:c>
      <x:c r="E51" s="83" t="n">
        <x:v>46549</x:v>
      </x:c>
      <x:c r="F51" s="73" t="n">
        <x:v>30</x:v>
      </x:c>
      <x:c r="G51" s="73" t="str">
        <x:v>Quantidade</x:v>
      </x:c>
      <x:c r="H51" s="85" t="n">
        <x:v>0</x:v>
      </x:c>
      <x:c r="I51" s="73" t="n">
        <x:v>9800</x:v>
      </x:c>
      <x:c r="J51" s="73" t="str"/>
      <x:c r="K51" s="73" t="str">
        <x:v>m²</x:v>
      </x:c>
      <x:c r="L51" s="73" t="str">
        <x:v>2.5.5</x:v>
      </x:c>
      <x:c r="M51" s="73" t="str">
        <x:v>Bruno Dias</x:v>
      </x:c>
      <x:c r="N51" s="73" t="str">
        <x:v>Não iniciada</x:v>
      </x:c>
    </x:row>
    <x:row r="52">
      <x:c r="A52" s="73" t="str">
        <x:v>Pavimentação Rodoviária SE-100 - Trecho Demonstrativo</x:v>
      </x:c>
      <x:c r="B52" s="73" t="str">
        <x:v>2.7.2</x:v>
      </x:c>
      <x:c r="C52" s="73" t="str">
        <x:v>Sinalização vertical</x:v>
      </x:c>
      <x:c r="D52" s="83" t="n">
        <x:v>46517</x:v>
      </x:c>
      <x:c r="E52" s="83" t="n">
        <x:v>46556</x:v>
      </x:c>
      <x:c r="F52" s="73" t="n">
        <x:v>30</x:v>
      </x:c>
      <x:c r="G52" s="73" t="str">
        <x:v>Quantidade</x:v>
      </x:c>
      <x:c r="H52" s="85" t="n">
        <x:v>0</x:v>
      </x:c>
      <x:c r="I52" s="73" t="n">
        <x:v>186</x:v>
      </x:c>
      <x:c r="J52" s="73" t="str"/>
      <x:c r="K52" s="73" t="str">
        <x:v>un</x:v>
      </x:c>
      <x:c r="L52" s="73" t="str">
        <x:v>2.5.5</x:v>
      </x:c>
      <x:c r="M52" s="73" t="str">
        <x:v>Bruno Dias</x:v>
      </x:c>
      <x:c r="N52" s="73" t="str">
        <x:v>Não iniciada</x:v>
      </x:c>
    </x:row>
    <x:row r="53">
      <x:c r="A53" s="73" t="str">
        <x:v>Pavimentação Rodoviária SE-100 - Trecho Demonstrativo</x:v>
      </x:c>
      <x:c r="B53" s="73" t="str">
        <x:v>2.7.3</x:v>
      </x:c>
      <x:c r="C53" s="73" t="str">
        <x:v>Defensas, delineadores e dispositivos de segurança</x:v>
      </x:c>
      <x:c r="D53" s="83" t="n">
        <x:v>46524</x:v>
      </x:c>
      <x:c r="E53" s="83" t="n">
        <x:v>46556</x:v>
      </x:c>
      <x:c r="F53" s="73" t="n">
        <x:v>25</x:v>
      </x:c>
      <x:c r="G53" s="73" t="str">
        <x:v>Quantidade</x:v>
      </x:c>
      <x:c r="H53" s="85" t="n">
        <x:v>0</x:v>
      </x:c>
      <x:c r="I53" s="73" t="n">
        <x:v>4200</x:v>
      </x:c>
      <x:c r="J53" s="73" t="str"/>
      <x:c r="K53" s="73" t="str">
        <x:v>m</x:v>
      </x:c>
      <x:c r="L53" s="73" t="str">
        <x:v>2.5.5</x:v>
      </x:c>
      <x:c r="M53" s="73" t="str">
        <x:v>Bruno Dias</x:v>
      </x:c>
      <x:c r="N53" s="73" t="str">
        <x:v>Não iniciada</x:v>
      </x:c>
    </x:row>
    <x:row r="54">
      <x:c r="A54" s="73" t="str">
        <x:v>Pavimentação Rodoviária SE-100 - Trecho Demonstrativo</x:v>
      </x:c>
      <x:c r="B54" s="73" t="str">
        <x:v>2.8.1</x:v>
      </x:c>
      <x:c r="C54" s="73" t="str">
        <x:v>Recuperação de jazidas e áreas de apoio</x:v>
      </x:c>
      <x:c r="D54" s="83" t="n">
        <x:v>46482</x:v>
      </x:c>
      <x:c r="E54" s="83" t="n">
        <x:v>46549</x:v>
      </x:c>
      <x:c r="F54" s="73" t="n">
        <x:v>50</x:v>
      </x:c>
      <x:c r="G54" s="73" t="str">
        <x:v>Percentual</x:v>
      </x:c>
      <x:c r="H54" s="85" t="n">
        <x:v>0</x:v>
      </x:c>
      <x:c r="I54" s="73" t="str"/>
      <x:c r="J54" s="73" t="str"/>
      <x:c r="K54" s="73" t="str"/>
      <x:c r="L54" s="73" t="str">
        <x:v>2.3.2</x:v>
      </x:c>
      <x:c r="M54" s="73" t="str">
        <x:v>Luciano Melo</x:v>
      </x:c>
      <x:c r="N54" s="73" t="str">
        <x:v>Não iniciada</x:v>
      </x:c>
    </x:row>
    <x:row r="55">
      <x:c r="A55" s="73" t="str">
        <x:v>Pavimentação Rodoviária SE-100 - Trecho Demonstrativo</x:v>
      </x:c>
      <x:c r="B55" s="73" t="str">
        <x:v>2.8.2</x:v>
      </x:c>
      <x:c r="C55" s="73" t="str">
        <x:v>Recomposição vegetal e proteção de taludes</x:v>
      </x:c>
      <x:c r="D55" s="83" t="n">
        <x:v>46496</x:v>
      </x:c>
      <x:c r="E55" s="83" t="n">
        <x:v>46556</x:v>
      </x:c>
      <x:c r="F55" s="73" t="n">
        <x:v>45</x:v>
      </x:c>
      <x:c r="G55" s="73" t="str">
        <x:v>Quantidade</x:v>
      </x:c>
      <x:c r="H55" s="85" t="n">
        <x:v>0</x:v>
      </x:c>
      <x:c r="I55" s="73" t="n">
        <x:v>125000</x:v>
      </x:c>
      <x:c r="J55" s="73" t="str"/>
      <x:c r="K55" s="73" t="str">
        <x:v>m²</x:v>
      </x:c>
      <x:c r="L55" s="73" t="str">
        <x:v>2.3.3</x:v>
      </x:c>
      <x:c r="M55" s="73" t="str">
        <x:v>Luciano Melo</x:v>
      </x:c>
      <x:c r="N55" s="73" t="str">
        <x:v>Não iniciada</x:v>
      </x:c>
    </x:row>
    <x:row r="56">
      <x:c r="A56" s="73" t="str">
        <x:v>Pavimentação Rodoviária SE-100 - Trecho Demonstrativo</x:v>
      </x:c>
      <x:c r="B56" s="73" t="str">
        <x:v>2.9.1</x:v>
      </x:c>
      <x:c r="C56" s="73" t="str">
        <x:v>Controle tecnológico final e correções</x:v>
      </x:c>
      <x:c r="D56" s="83" t="n">
        <x:v>46510</x:v>
      </x:c>
      <x:c r="E56" s="83" t="n">
        <x:v>46556</x:v>
      </x:c>
      <x:c r="F56" s="73" t="n">
        <x:v>35</x:v>
      </x:c>
      <x:c r="G56" s="73" t="str">
        <x:v>Percentual</x:v>
      </x:c>
      <x:c r="H56" s="85" t="n">
        <x:v>0</x:v>
      </x:c>
      <x:c r="I56" s="73" t="str"/>
      <x:c r="J56" s="73" t="str"/>
      <x:c r="K56" s="73" t="str"/>
      <x:c r="L56" s="73" t="str">
        <x:v>2.5.5</x:v>
      </x:c>
      <x:c r="M56" s="73" t="str">
        <x:v>João Ferreira</x:v>
      </x:c>
      <x:c r="N56" s="73" t="str">
        <x:v>Não iniciada</x:v>
      </x:c>
    </x:row>
    <x:row r="57">
      <x:c r="A57" s="73" t="str">
        <x:v>Pavimentação Rodoviária SE-100 - Trecho Demonstrativo</x:v>
      </x:c>
      <x:c r="B57" s="73" t="str">
        <x:v>2.9.2</x:v>
      </x:c>
      <x:c r="C57" s="73" t="str">
        <x:v>Levantamento as built e documentação</x:v>
      </x:c>
      <x:c r="D57" s="83" t="n">
        <x:v>46531</x:v>
      </x:c>
      <x:c r="E57" s="83" t="n">
        <x:v>46556</x:v>
      </x:c>
      <x:c r="F57" s="73" t="n">
        <x:v>20</x:v>
      </x:c>
      <x:c r="G57" s="73" t="str">
        <x:v>Percentual</x:v>
      </x:c>
      <x:c r="H57" s="85" t="n">
        <x:v>0</x:v>
      </x:c>
      <x:c r="I57" s="73" t="str"/>
      <x:c r="J57" s="73" t="str"/>
      <x:c r="K57" s="73" t="str"/>
      <x:c r="L57" s="73" t="str">
        <x:v>2.9.1</x:v>
      </x:c>
      <x:c r="M57" s="73" t="str">
        <x:v>João Ferreira</x:v>
      </x:c>
      <x:c r="N57" s="73" t="str">
        <x:v>Não iniciada</x:v>
      </x:c>
    </x:row>
    <x:row r="58">
      <x:c r="A58" s="73" t="str">
        <x:v>Pavimentação Rodoviária SE-100 - Trecho Demonstrativo</x:v>
      </x:c>
      <x:c r="B58" s="73" t="str">
        <x:v>2.9.3</x:v>
      </x:c>
      <x:c r="C58" s="73" t="str">
        <x:v>Desmobilização e limpeza final</x:v>
      </x:c>
      <x:c r="D58" s="83" t="n">
        <x:v>46545</x:v>
      </x:c>
      <x:c r="E58" s="83" t="n">
        <x:v>46563</x:v>
      </x:c>
      <x:c r="F58" s="73" t="n">
        <x:v>15</x:v>
      </x:c>
      <x:c r="G58" s="73" t="str">
        <x:v>Percentual</x:v>
      </x:c>
      <x:c r="H58" s="85" t="n">
        <x:v>0</x:v>
      </x:c>
      <x:c r="I58" s="73" t="str"/>
      <x:c r="J58" s="73" t="str"/>
      <x:c r="K58" s="73" t="str"/>
      <x:c r="L58" s="73" t="str">
        <x:v>2.7.3,2.8.2</x:v>
      </x:c>
      <x:c r="M58" s="73" t="str">
        <x:v>João Ferreira</x:v>
      </x:c>
      <x:c r="N58" s="73" t="str">
        <x:v>Não iniciada</x:v>
      </x:c>
    </x:row>
    <x:row r="59">
      <x:c r="A59" s="73" t="str">
        <x:v>Pavimentação Rodoviária SE-100 - Trecho Demonstrativo</x:v>
      </x:c>
      <x:c r="B59" s="73" t="str">
        <x:v>2.9.4</x:v>
      </x:c>
      <x:c r="C59" s="73" t="str">
        <x:v>Recebimento e entrega do trecho</x:v>
      </x:c>
      <x:c r="D59" s="83" t="n">
        <x:v>46559</x:v>
      </x:c>
      <x:c r="E59" s="83" t="n">
        <x:v>46568</x:v>
      </x:c>
      <x:c r="F59" s="73" t="n">
        <x:v>8</x:v>
      </x:c>
      <x:c r="G59" s="73" t="str">
        <x:v>Percentual</x:v>
      </x:c>
      <x:c r="H59" s="85" t="n">
        <x:v>0</x:v>
      </x:c>
      <x:c r="I59" s="73" t="str"/>
      <x:c r="J59" s="73" t="str"/>
      <x:c r="K59" s="73" t="str"/>
      <x:c r="L59" s="73" t="str">
        <x:v>2.9.2,2.9.3</x:v>
      </x:c>
      <x:c r="M59" s="73" t="str">
        <x:v>João Ferreira</x:v>
      </x:c>
      <x:c r="N59" s="73" t="str">
        <x:v>Não iniciada</x:v>
      </x:c>
    </x:row>
  </x:sheetData>
  <x:conditionalFormatting sqref="N2:N59">
    <x:cfRule type="expression" dxfId="9" priority="1">
      <x:formula>N2="Concluída"</x:formula>
    </x:cfRule>
    <x:cfRule type="expression" dxfId="10" priority="2">
      <x:formula>N2="Em andamento"</x:formula>
    </x:cfRule>
    <x:cfRule type="expression" dxfId="11" priority="3">
      <x:formula>N2="Atrasada"</x:formula>
    </x:cfRule>
  </x:conditionalFormatting>
  <x:dataValidations count="3">
    <x:dataValidation type="list" sqref="G2:G500">
      <x:formula1>"Não iniciada,Em andamento,Atrasada,Concluída"</x:formula1>
    </x:dataValidation>
    <x:dataValidation type="list" sqref="G2:G59">
      <x:formula1>"Percentual,Quantidade"</x:formula1>
    </x:dataValidation>
    <x:dataValidation type="list" sqref="N2:N59">
      <x:formula1>"Não iniciada,Em andamento,Atrasada,Concluída"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f6507fbc3f4e5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45" hidden="0" customWidth="1"/>
    <x:col min="5" max="5" width="16" hidden="0" customWidth="1"/>
    <x:col min="6" max="6" width="20" hidden="0" customWidth="1"/>
    <x:col min="7" max="7" width="16" hidden="0" customWidth="1"/>
  </x:cols>
  <x:sheetData>
    <x:row r="1">
      <x:c r="A1" s="31" t="str">
        <x:v>Obra</x:v>
      </x:c>
      <x:c r="B1" s="31" t="str">
        <x:v>Data</x:v>
      </x:c>
      <x:c r="C1" s="31" t="str">
        <x:v>Número</x:v>
      </x:c>
      <x:c r="D1" s="31" t="str">
        <x:v>Descrição</x:v>
      </x:c>
      <x:c r="E1" s="31" t="str">
        <x:v>Avanço físico (%)</x:v>
      </x:c>
      <x:c r="F1" s="31" t="str">
        <x:v>Valor medido</x:v>
      </x:c>
      <x:c r="G1" s="31" t="str">
        <x:v>Status</x:v>
      </x:c>
    </x:row>
    <x:row r="2">
      <x:c r="A2" s="19" t="str">
        <x:v>Revitalização do Complexo Administrativo - Aracaju</x:v>
      </x:c>
      <x:c r="B2" s="38" t="n">
        <x:v>46234</x:v>
      </x:c>
      <x:c r="C2" s="19" t="str">
        <x:v>MED-001</x:v>
      </x:c>
      <x:c r="D2" s="19" t="str">
        <x:v>Mobilização e serviços preliminares</x:v>
      </x:c>
      <x:c r="E2" s="40" t="n">
        <x:v>6</x:v>
      </x:c>
      <x:c r="F2" s="36" t="n">
        <x:v>310000</x:v>
      </x:c>
      <x:c r="G2" s="19" t="str">
        <x:v>Paga</x:v>
      </x:c>
    </x:row>
    <x:row r="3">
      <x:c r="A3" s="19" t="str">
        <x:v>Revitalização do Complexo Administrativo - Aracaju</x:v>
      </x:c>
      <x:c r="B3" s="38" t="n">
        <x:v>46265</x:v>
      </x:c>
      <x:c r="C3" s="19" t="str">
        <x:v>MED-002</x:v>
      </x:c>
      <x:c r="D3" s="19" t="str">
        <x:v>Demolições e início do reforço estrutural</x:v>
      </x:c>
      <x:c r="E3" s="40" t="n">
        <x:v>9</x:v>
      </x:c>
      <x:c r="F3" s="36" t="n">
        <x:v>465000</x:v>
      </x:c>
      <x:c r="G3" s="19" t="str">
        <x:v>Paga</x:v>
      </x:c>
    </x:row>
    <x:row r="4">
      <x:c r="A4" s="19" t="str">
        <x:v>Revitalização do Complexo Administrativo - Aracaju</x:v>
      </x:c>
      <x:c r="B4" s="38" t="n">
        <x:v>46295</x:v>
      </x:c>
      <x:c r="C4" s="19" t="str">
        <x:v>MED-003</x:v>
      </x:c>
      <x:c r="D4" s="19" t="str">
        <x:v>Reforço estrutural e instalações</x:v>
      </x:c>
      <x:c r="E4" s="40" t="n">
        <x:v>8</x:v>
      </x:c>
      <x:c r="F4" s="36" t="n">
        <x:v>420000</x:v>
      </x:c>
      <x:c r="G4" s="19" t="str">
        <x:v>Faturada</x:v>
      </x:c>
    </x:row>
    <x:row r="5">
      <x:c r="A5" s="19" t="str">
        <x:v>Revitalização do Complexo Administrativo - Aracaju</x:v>
      </x:c>
      <x:c r="B5" s="38" t="n">
        <x:v>46326</x:v>
      </x:c>
      <x:c r="C5" s="19" t="str">
        <x:v>MED-004</x:v>
      </x:c>
      <x:c r="D5" s="19" t="str">
        <x:v>Estrutura e instalações - parcial</x:v>
      </x:c>
      <x:c r="E5" s="40" t="n">
        <x:v>5</x:v>
      </x:c>
      <x:c r="F5" s="36" t="n">
        <x:v>285000</x:v>
      </x:c>
      <x:c r="G5" s="19" t="str">
        <x:v>Aprovada</x:v>
      </x:c>
    </x:row>
    <x:row r="6">
      <x:c r="A6" s="19" t="str">
        <x:v>Pavimentação Rodoviária SE-100 - Trecho Demonstrativo</x:v>
      </x:c>
      <x:c r="B6" s="38" t="n">
        <x:v>46234</x:v>
      </x:c>
      <x:c r="C6" s="19" t="str">
        <x:v>MED-001</x:v>
      </x:c>
      <x:c r="D6" s="19" t="str">
        <x:v>Mobilização, topografia e terraplenagem inicial</x:v>
      </x:c>
      <x:c r="E6" s="40" t="n">
        <x:v>5</x:v>
      </x:c>
      <x:c r="F6" s="36" t="n">
        <x:v>620000</x:v>
      </x:c>
      <x:c r="G6" s="19" t="str">
        <x:v>Paga</x:v>
      </x:c>
    </x:row>
    <x:row r="7">
      <x:c r="A7" s="19" t="str">
        <x:v>Pavimentação Rodoviária SE-100 - Trecho Demonstrativo</x:v>
      </x:c>
      <x:c r="B7" s="38" t="n">
        <x:v>46265</x:v>
      </x:c>
      <x:c r="C7" s="19" t="str">
        <x:v>MED-002</x:v>
      </x:c>
      <x:c r="D7" s="19" t="str">
        <x:v>Terraplenagem e drenagem</x:v>
      </x:c>
      <x:c r="E7" s="40" t="n">
        <x:v>6</x:v>
      </x:c>
      <x:c r="F7" s="36" t="n">
        <x:v>760000</x:v>
      </x:c>
      <x:c r="G7" s="19" t="str">
        <x:v>Paga</x:v>
      </x:c>
    </x:row>
    <x:row r="8">
      <x:c r="A8" s="19" t="str">
        <x:v>Pavimentação Rodoviária SE-100 - Trecho Demonstrativo</x:v>
      </x:c>
      <x:c r="B8" s="38" t="n">
        <x:v>46295</x:v>
      </x:c>
      <x:c r="C8" s="19" t="str">
        <x:v>MED-003</x:v>
      </x:c>
      <x:c r="D8" s="19" t="str">
        <x:v>Terraplenagem, drenagem e sub-base</x:v>
      </x:c>
      <x:c r="E8" s="40" t="n">
        <x:v>6</x:v>
      </x:c>
      <x:c r="F8" s="36" t="n">
        <x:v>810000</x:v>
      </x:c>
      <x:c r="G8" s="19" t="str">
        <x:v>Faturada</x:v>
      </x:c>
    </x:row>
    <x:row r="9">
      <x:c r="A9" s="19" t="str">
        <x:v>Pavimentação Rodoviária SE-100 - Trecho Demonstrativo</x:v>
      </x:c>
      <x:c r="B9" s="38" t="n">
        <x:v>46326</x:v>
      </x:c>
      <x:c r="C9" s="19" t="str">
        <x:v>MED-004</x:v>
      </x:c>
      <x:c r="D9" s="19" t="str">
        <x:v>Sub-base e drenagem</x:v>
      </x:c>
      <x:c r="E9" s="40" t="n">
        <x:v>5</x:v>
      </x:c>
      <x:c r="F9" s="36" t="n">
        <x:v>690000</x:v>
      </x:c>
      <x:c r="G9" s="19" t="str">
        <x:v>Aprovada</x:v>
      </x:c>
    </x:row>
  </x:sheetData>
  <x:dataValidations count="1">
    <x:dataValidation type="list" sqref="G2:G500">
      <x:formula1>"Pendente,Aprovada,Faturada,Paga"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f9d21da01944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8" hidden="0" customWidth="1"/>
    <x:col min="4" max="4" width="18" hidden="0" customWidth="1"/>
    <x:col min="5" max="5" width="16" hidden="0" customWidth="1"/>
    <x:col min="6" max="6" width="12" hidden="0" customWidth="1"/>
    <x:col min="7" max="7" width="18" hidden="0" customWidth="1"/>
    <x:col min="8" max="8" width="16" hidden="0" customWidth="1"/>
  </x:cols>
  <x:sheetData>
    <x:row r="1">
      <x:c r="A1" s="52" t="str">
        <x:v>Equipamento</x:v>
      </x:c>
      <x:c r="B1" s="52" t="str">
        <x:v>Patrimônio ou código</x:v>
      </x:c>
      <x:c r="C1" s="52" t="str">
        <x:v>Obra alocada</x:v>
      </x:c>
      <x:c r="D1" s="52" t="str">
        <x:v>Início de alocação</x:v>
      </x:c>
      <x:c r="E1" s="52" t="str">
        <x:v>Custo mensal</x:v>
      </x:c>
      <x:c r="F1" s="52" t="str">
        <x:v>Horímetro</x:v>
      </x:c>
      <x:c r="G1" s="52" t="str">
        <x:v>Próxima manutenção</x:v>
      </x:c>
      <x:c r="H1" s="52" t="str">
        <x:v>Status</x:v>
      </x:c>
    </x:row>
    <x:row r="2">
      <x:c r="A2" s="19" t="str">
        <x:v>Betoneira 400 L</x:v>
      </x:c>
      <x:c r="B2" s="19" t="str">
        <x:v>EQ-001</x:v>
      </x:c>
      <x:c r="C2" s="19" t="str">
        <x:v>Revitalização do Complexo Administrativo - Aracaju</x:v>
      </x:c>
      <x:c r="D2" s="38" t="n">
        <x:v>46204</x:v>
      </x:c>
      <x:c r="E2" s="36" t="n">
        <x:v>2800</x:v>
      </x:c>
      <x:c r="F2" s="19" t="n">
        <x:v>840</x:v>
      </x:c>
      <x:c r="G2" s="38" t="n">
        <x:v>46310</x:v>
      </x:c>
      <x:c r="H2" s="19" t="str">
        <x:v>Operacional</x:v>
      </x:c>
    </x:row>
    <x:row r="3">
      <x:c r="A3" s="19" t="str">
        <x:v>Plataforma elevatória</x:v>
      </x:c>
      <x:c r="B3" s="19" t="str">
        <x:v>EQ-002</x:v>
      </x:c>
      <x:c r="C3" s="19" t="str">
        <x:v>Revitalização do Complexo Administrativo - Aracaju</x:v>
      </x:c>
      <x:c r="D3" s="38" t="n">
        <x:v>46204</x:v>
      </x:c>
      <x:c r="E3" s="36" t="n">
        <x:v>12500</x:v>
      </x:c>
      <x:c r="F3" s="19" t="n">
        <x:v>420</x:v>
      </x:c>
      <x:c r="G3" s="38" t="n">
        <x:v>46320</x:v>
      </x:c>
      <x:c r="H3" s="19" t="str">
        <x:v>Operacional</x:v>
      </x:c>
    </x:row>
    <x:row r="4">
      <x:c r="A4" s="19" t="str">
        <x:v>Gerador 75 kVA</x:v>
      </x:c>
      <x:c r="B4" s="19" t="str">
        <x:v>EQ-003</x:v>
      </x:c>
      <x:c r="C4" s="19" t="str">
        <x:v>Revitalização do Complexo Administrativo - Aracaju</x:v>
      </x:c>
      <x:c r="D4" s="38" t="n">
        <x:v>46208</x:v>
      </x:c>
      <x:c r="E4" s="36" t="n">
        <x:v>6900</x:v>
      </x:c>
      <x:c r="F4" s="19" t="n">
        <x:v>690</x:v>
      </x:c>
      <x:c r="G4" s="38" t="n">
        <x:v>46331</x:v>
      </x:c>
      <x:c r="H4" s="19" t="str">
        <x:v>Operacional</x:v>
      </x:c>
    </x:row>
    <x:row r="5">
      <x:c r="A5" s="19" t="str">
        <x:v>Escavadeira hidráulica 22 t</x:v>
      </x:c>
      <x:c r="B5" s="19" t="str">
        <x:v>EQ-101</x:v>
      </x:c>
      <x:c r="C5" s="19" t="str">
        <x:v>Pavimentação Rodoviária SE-100 - Trecho Demonstrativo</x:v>
      </x:c>
      <x:c r="D5" s="38" t="n">
        <x:v>46188</x:v>
      </x:c>
      <x:c r="E5" s="36" t="n">
        <x:v>38500</x:v>
      </x:c>
      <x:c r="F5" s="19" t="n">
        <x:v>2850</x:v>
      </x:c>
      <x:c r="G5" s="38" t="n">
        <x:v>46305</x:v>
      </x:c>
      <x:c r="H5" s="19" t="str">
        <x:v>Operacional</x:v>
      </x:c>
    </x:row>
    <x:row r="6">
      <x:c r="A6" s="19" t="str">
        <x:v>Rolo compactador 12 t</x:v>
      </x:c>
      <x:c r="B6" s="19" t="str">
        <x:v>EQ-102</x:v>
      </x:c>
      <x:c r="C6" s="19" t="str">
        <x:v>Pavimentação Rodoviária SE-100 - Trecho Demonstrativo</x:v>
      </x:c>
      <x:c r="D6" s="38" t="n">
        <x:v>46193</x:v>
      </x:c>
      <x:c r="E6" s="36" t="n">
        <x:v>24500</x:v>
      </x:c>
      <x:c r="F6" s="19" t="n">
        <x:v>1980</x:v>
      </x:c>
      <x:c r="G6" s="38" t="n">
        <x:v>46313</x:v>
      </x:c>
      <x:c r="H6" s="19" t="str">
        <x:v>Operacional</x:v>
      </x:c>
    </x:row>
    <x:row r="7">
      <x:c r="A7" s="19" t="str">
        <x:v>Motoniveladora</x:v>
      </x:c>
      <x:c r="B7" s="19" t="str">
        <x:v>EQ-103</x:v>
      </x:c>
      <x:c r="C7" s="19" t="str">
        <x:v>Pavimentação Rodoviária SE-100 - Trecho Demonstrativo</x:v>
      </x:c>
      <x:c r="D7" s="38" t="n">
        <x:v>46188</x:v>
      </x:c>
      <x:c r="E7" s="36" t="n">
        <x:v>42000</x:v>
      </x:c>
      <x:c r="F7" s="19" t="n">
        <x:v>3150</x:v>
      </x:c>
      <x:c r="G7" s="38" t="n">
        <x:v>46307</x:v>
      </x:c>
      <x:c r="H7" s="19" t="str">
        <x:v>Manutenção</x:v>
      </x:c>
    </x:row>
    <x:row r="8">
      <x:c r="A8" s="19" t="str">
        <x:v>Vibroacabadora</x:v>
      </x:c>
      <x:c r="B8" s="19" t="str">
        <x:v>EQ-104</x:v>
      </x:c>
      <x:c r="C8" s="19" t="str">
        <x:v>Pavimentação Rodoviária SE-100 - Trecho Demonstrativo</x:v>
      </x:c>
      <x:c r="D8" s="38" t="n">
        <x:v>46235</x:v>
      </x:c>
      <x:c r="E8" s="36" t="n">
        <x:v>46500</x:v>
      </x:c>
      <x:c r="F8" s="19" t="n">
        <x:v>1100</x:v>
      </x:c>
      <x:c r="G8" s="38" t="n">
        <x:v>46392</x:v>
      </x:c>
      <x:c r="H8" s="19" t="str">
        <x:v>Parado</x:v>
      </x:c>
    </x:row>
  </x:sheetData>
  <x:dataValidations count="1">
    <x:dataValidation type="list" sqref="F2:F500">
      <x:formula1>"Operacional,Manutenção,Parado"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dc6fd410d847d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0" hidden="0" customWidth="1"/>
    <x:col min="3" max="3" width="14" hidden="0" customWidth="1"/>
    <x:col min="4" max="4" width="18" hidden="0" customWidth="1"/>
    <x:col min="5" max="5" width="46" hidden="0" customWidth="1"/>
    <x:col min="6" max="6" width="20" hidden="0" customWidth="1"/>
    <x:col min="7" max="7" width="22" hidden="0" customWidth="1"/>
  </x:cols>
  <x:sheetData>
    <x:row r="1">
      <x:c r="A1" s="31" t="str">
        <x:v>Obra</x:v>
      </x:c>
      <x:c r="B1" s="31" t="str">
        <x:v>Fornecedor</x:v>
      </x:c>
      <x:c r="C1" s="31" t="str">
        <x:v>Data</x:v>
      </x:c>
      <x:c r="D1" s="31" t="str">
        <x:v>Prazo de entrega</x:v>
      </x:c>
      <x:c r="E1" s="31" t="str">
        <x:v>Itens ou descrição</x:v>
      </x:c>
      <x:c r="F1" s="31" t="str">
        <x:v>Valor total</x:v>
      </x:c>
      <x:c r="G1" s="31" t="str">
        <x:v>Status</x:v>
      </x:c>
    </x:row>
    <x:row r="2">
      <x:c r="A2" s="19" t="str">
        <x:v>Revitalização do Complexo Administrativo - Aracaju</x:v>
      </x:c>
      <x:c r="B2" s="19" t="str">
        <x:v>Concrefort Materiais Ltda</x:v>
      </x:c>
      <x:c r="C2" s="38" t="n">
        <x:v>46239</x:v>
      </x:c>
      <x:c r="D2" s="38" t="n">
        <x:v>46246</x:v>
      </x:c>
      <x:c r="E2" s="19" t="str">
        <x:v>Concreto usinado fck 30 MPa</x:v>
      </x:c>
      <x:c r="F2" s="36" t="n">
        <x:v>128000</x:v>
      </x:c>
      <x:c r="G2" s="19" t="str">
        <x:v>Entregue</x:v>
      </x:c>
    </x:row>
    <x:row r="3">
      <x:c r="A3" s="19" t="str">
        <x:v>Revitalização do Complexo Administrativo - Aracaju</x:v>
      </x:c>
      <x:c r="B3" s="19" t="str">
        <x:v>EletroNordeste Comercial</x:v>
      </x:c>
      <x:c r="C3" s="38" t="n">
        <x:v>46267</x:v>
      </x:c>
      <x:c r="D3" s="38" t="n">
        <x:v>46285</x:v>
      </x:c>
      <x:c r="E3" s="19" t="str">
        <x:v>Quadros, cabos, eletrodutos e luminárias</x:v>
      </x:c>
      <x:c r="F3" s="36" t="n">
        <x:v>185000</x:v>
      </x:c>
      <x:c r="G3" s="19" t="str">
        <x:v>Aprovado</x:v>
      </x:c>
    </x:row>
    <x:row r="4">
      <x:c r="A4" s="19" t="str">
        <x:v>Revitalização do Complexo Administrativo - Aracaju</x:v>
      </x:c>
      <x:c r="B4" s="19" t="str">
        <x:v>LocaMáq Equipamentos</x:v>
      </x:c>
      <x:c r="C4" s="38" t="n">
        <x:v>46270</x:v>
      </x:c>
      <x:c r="D4" s="38" t="n">
        <x:v>46272</x:v>
      </x:c>
      <x:c r="E4" s="19" t="str">
        <x:v>Locação plataforma elevatória - 60 dias</x:v>
      </x:c>
      <x:c r="F4" s="36" t="n">
        <x:v>72000</x:v>
      </x:c>
      <x:c r="G4" s="19" t="str">
        <x:v>Entregue</x:v>
      </x:c>
    </x:row>
    <x:row r="5">
      <x:c r="A5" s="19" t="str">
        <x:v>Revitalização do Complexo Administrativo - Aracaju</x:v>
      </x:c>
      <x:c r="B5" s="19" t="str">
        <x:v>SegWork EPI Ltda</x:v>
      </x:c>
      <x:c r="C5" s="38" t="n">
        <x:v>46275</x:v>
      </x:c>
      <x:c r="D5" s="38" t="n">
        <x:v>46280</x:v>
      </x:c>
      <x:c r="E5" s="19" t="str">
        <x:v>EPI/EPC equipe civil e elétrica</x:v>
      </x:c>
      <x:c r="F5" s="36" t="n">
        <x:v>18500</x:v>
      </x:c>
      <x:c r="G5" s="19" t="str">
        <x:v>Entregue</x:v>
      </x:c>
    </x:row>
    <x:row r="6">
      <x:c r="A6" s="19" t="str">
        <x:v>Pavimentação Rodoviária SE-100 - Trecho Demonstrativo</x:v>
      </x:c>
      <x:c r="B6" s="19" t="str">
        <x:v>PavMix Asfaltos Ltda</x:v>
      </x:c>
      <x:c r="C6" s="38" t="n">
        <x:v>46280</x:v>
      </x:c>
      <x:c r="D6" s="38" t="n">
        <x:v>46392</x:v>
      </x:c>
      <x:c r="E6" s="19" t="str">
        <x:v>Fornecimento programado de CBUQ</x:v>
      </x:c>
      <x:c r="F6" s="36" t="n">
        <x:v>2380000</x:v>
      </x:c>
      <x:c r="G6" s="19" t="str">
        <x:v>Aprovado</x:v>
      </x:c>
    </x:row>
    <x:row r="7">
      <x:c r="A7" s="19" t="str">
        <x:v>Pavimentação Rodoviária SE-100 - Trecho Demonstrativo</x:v>
      </x:c>
      <x:c r="B7" s="19" t="str">
        <x:v>Concrefort Materiais Ltda</x:v>
      </x:c>
      <x:c r="C7" s="38" t="n">
        <x:v>46223</x:v>
      </x:c>
      <x:c r="D7" s="38" t="n">
        <x:v>46233</x:v>
      </x:c>
      <x:c r="E7" s="19" t="str">
        <x:v>Tubos e concreto para drenagem</x:v>
      </x:c>
      <x:c r="F7" s="36" t="n">
        <x:v>410000</x:v>
      </x:c>
      <x:c r="G7" s="19" t="str">
        <x:v>Entregue</x:v>
      </x:c>
    </x:row>
    <x:row r="8">
      <x:c r="A8" s="19" t="str">
        <x:v>Pavimentação Rodoviária SE-100 - Trecho Demonstrativo</x:v>
      </x:c>
      <x:c r="B8" s="19" t="str">
        <x:v>LocaMáq Equipamentos</x:v>
      </x:c>
      <x:c r="C8" s="38" t="n">
        <x:v>46204</x:v>
      </x:c>
      <x:c r="D8" s="38" t="n">
        <x:v>46206</x:v>
      </x:c>
      <x:c r="E8" s="19" t="str">
        <x:v>Locação rolo, escavadeira e motoniveladora</x:v>
      </x:c>
      <x:c r="F8" s="36" t="n">
        <x:v>495000</x:v>
      </x:c>
      <x:c r="G8" s="19" t="str">
        <x:v>Entregue</x:v>
      </x:c>
    </x:row>
    <x:row r="9">
      <x:c r="A9" s="19" t="str">
        <x:v>Pavimentação Rodoviária SE-100 - Trecho Demonstrativo</x:v>
      </x:c>
      <x:c r="B9" s="19" t="str">
        <x:v>SegWork EPI Ltda</x:v>
      </x:c>
      <x:c r="C9" s="38" t="n">
        <x:v>46236</x:v>
      </x:c>
      <x:c r="D9" s="38" t="n">
        <x:v>46242</x:v>
      </x:c>
      <x:c r="E9" s="19" t="str">
        <x:v>EPI, cones e sinalização temporária</x:v>
      </x:c>
      <x:c r="F9" s="36" t="n">
        <x:v>84000</x:v>
      </x:c>
      <x:c r="G9" s="19" t="str">
        <x:v>Entregue</x:v>
      </x:c>
    </x:row>
  </x:sheetData>
  <x:dataValidations count="1">
    <x:dataValidation type="list" sqref="G2:G500">
      <x:formula1>"Solicitado,Em cotação,Aguardando aprovação,Aprovado,Entregue,Cancelado"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97d210666b494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42" hidden="0" customWidth="1"/>
    <x:col min="5" max="5" width="14" hidden="0" customWidth="1"/>
    <x:col min="6" max="6" width="20" hidden="0" customWidth="1"/>
    <x:col min="7" max="7" width="18" hidden="0" customWidth="1"/>
    <x:col min="8" max="8" width="16" hidden="0" customWidth="1"/>
  </x:cols>
  <x:sheetData>
    <x:row r="1">
      <x:c r="A1" s="31" t="str">
        <x:v>Obra</x:v>
      </x:c>
      <x:c r="B1" s="31" t="str">
        <x:v>Competência</x:v>
      </x:c>
      <x:c r="C1" s="31" t="str">
        <x:v>Vencimento</x:v>
      </x:c>
      <x:c r="D1" s="31" t="str">
        <x:v>Descrição</x:v>
      </x:c>
      <x:c r="E1" s="31" t="str">
        <x:v>Tipo</x:v>
      </x:c>
      <x:c r="F1" s="31" t="str">
        <x:v>Categoria</x:v>
      </x:c>
      <x:c r="G1" s="31" t="str">
        <x:v>Valor</x:v>
      </x:c>
      <x:c r="H1" s="31" t="str">
        <x:v>Status</x:v>
      </x:c>
    </x:row>
    <x:row r="2">
      <x:c r="A2" s="19" t="str">
        <x:v>Revitalização do Complexo Administrativo - Aracaju</x:v>
      </x:c>
      <x:c r="B2" s="38" t="n">
        <x:v>46234</x:v>
      </x:c>
      <x:c r="C2" s="38" t="n">
        <x:v>46244</x:v>
      </x:c>
      <x:c r="D2" s="19" t="str">
        <x:v>Recebimento MED-001</x:v>
      </x:c>
      <x:c r="E2" s="19" t="str">
        <x:v>Receita</x:v>
      </x:c>
      <x:c r="F2" s="19" t="str">
        <x:v>Medição</x:v>
      </x:c>
      <x:c r="G2" s="36" t="n">
        <x:v>310000</x:v>
      </x:c>
      <x:c r="H2" s="19" t="str">
        <x:v>Recebido</x:v>
      </x:c>
    </x:row>
    <x:row r="3">
      <x:c r="A3" s="19" t="str">
        <x:v>Revitalização do Complexo Administrativo - Aracaju</x:v>
      </x:c>
      <x:c r="B3" s="38" t="n">
        <x:v>46265</x:v>
      </x:c>
      <x:c r="C3" s="38" t="n">
        <x:v>46275</x:v>
      </x:c>
      <x:c r="D3" s="19" t="str">
        <x:v>Recebimento MED-002</x:v>
      </x:c>
      <x:c r="E3" s="19" t="str">
        <x:v>Receita</x:v>
      </x:c>
      <x:c r="F3" s="19" t="str">
        <x:v>Medição</x:v>
      </x:c>
      <x:c r="G3" s="36" t="n">
        <x:v>465000</x:v>
      </x:c>
      <x:c r="H3" s="19" t="str">
        <x:v>Recebido</x:v>
      </x:c>
    </x:row>
    <x:row r="4">
      <x:c r="A4" s="19" t="str">
        <x:v>Revitalização do Complexo Administrativo - Aracaju</x:v>
      </x:c>
      <x:c r="B4" s="38" t="n">
        <x:v>46295</x:v>
      </x:c>
      <x:c r="C4" s="38" t="n">
        <x:v>46305</x:v>
      </x:c>
      <x:c r="D4" s="19" t="str">
        <x:v>Fatura MED-003</x:v>
      </x:c>
      <x:c r="E4" s="19" t="str">
        <x:v>Receita</x:v>
      </x:c>
      <x:c r="F4" s="19" t="str">
        <x:v>Medição</x:v>
      </x:c>
      <x:c r="G4" s="36" t="n">
        <x:v>420000</x:v>
      </x:c>
      <x:c r="H4" s="19" t="str">
        <x:v>Pendente</x:v>
      </x:c>
    </x:row>
    <x:row r="5">
      <x:c r="A5" s="19" t="str">
        <x:v>Revitalização do Complexo Administrativo - Aracaju</x:v>
      </x:c>
      <x:c r="B5" s="38" t="n">
        <x:v>46295</x:v>
      </x:c>
      <x:c r="C5" s="38" t="n">
        <x:v>46300</x:v>
      </x:c>
      <x:c r="D5" s="19" t="str">
        <x:v>Folha e encargos setembro</x:v>
      </x:c>
      <x:c r="E5" s="19" t="str">
        <x:v>Despesa</x:v>
      </x:c>
      <x:c r="F5" s="19" t="str">
        <x:v>Pessoal</x:v>
      </x:c>
      <x:c r="G5" s="36" t="n">
        <x:v>148000</x:v>
      </x:c>
      <x:c r="H5" s="19" t="str">
        <x:v>Pago</x:v>
      </x:c>
    </x:row>
    <x:row r="6">
      <x:c r="A6" s="19" t="str">
        <x:v>Revitalização do Complexo Administrativo - Aracaju</x:v>
      </x:c>
      <x:c r="B6" s="38" t="n">
        <x:v>46295</x:v>
      </x:c>
      <x:c r="C6" s="38" t="n">
        <x:v>46303</x:v>
      </x:c>
      <x:c r="D6" s="19" t="str">
        <x:v>Materiais elétricos</x:v>
      </x:c>
      <x:c r="E6" s="19" t="str">
        <x:v>Despesa</x:v>
      </x:c>
      <x:c r="F6" s="19" t="str">
        <x:v>Materiais</x:v>
      </x:c>
      <x:c r="G6" s="36" t="n">
        <x:v>185000</x:v>
      </x:c>
      <x:c r="H6" s="19" t="str">
        <x:v>Pendente</x:v>
      </x:c>
    </x:row>
    <x:row r="7">
      <x:c r="A7" s="19" t="str">
        <x:v>Revitalização do Complexo Administrativo - Aracaju</x:v>
      </x:c>
      <x:c r="B7" s="38" t="n">
        <x:v>46295</x:v>
      </x:c>
      <x:c r="C7" s="38" t="n">
        <x:v>46307</x:v>
      </x:c>
      <x:c r="D7" s="19" t="str">
        <x:v>Locações e equipamentos</x:v>
      </x:c>
      <x:c r="E7" s="19" t="str">
        <x:v>Despesa</x:v>
      </x:c>
      <x:c r="F7" s="19" t="str">
        <x:v>Equipamentos</x:v>
      </x:c>
      <x:c r="G7" s="36" t="n">
        <x:v>72000</x:v>
      </x:c>
      <x:c r="H7" s="19" t="str">
        <x:v>Pago</x:v>
      </x:c>
    </x:row>
    <x:row r="8">
      <x:c r="A8" s="19" t="str">
        <x:v>Pavimentação Rodoviária SE-100 - Trecho Demonstrativo</x:v>
      </x:c>
      <x:c r="B8" s="38" t="n">
        <x:v>46234</x:v>
      </x:c>
      <x:c r="C8" s="38" t="n">
        <x:v>46249</x:v>
      </x:c>
      <x:c r="D8" s="19" t="str">
        <x:v>Recebimento MED-001</x:v>
      </x:c>
      <x:c r="E8" s="19" t="str">
        <x:v>Receita</x:v>
      </x:c>
      <x:c r="F8" s="19" t="str">
        <x:v>Medição</x:v>
      </x:c>
      <x:c r="G8" s="36" t="n">
        <x:v>620000</x:v>
      </x:c>
      <x:c r="H8" s="19" t="str">
        <x:v>Recebido</x:v>
      </x:c>
    </x:row>
    <x:row r="9">
      <x:c r="A9" s="19" t="str">
        <x:v>Pavimentação Rodoviária SE-100 - Trecho Demonstrativo</x:v>
      </x:c>
      <x:c r="B9" s="38" t="n">
        <x:v>46265</x:v>
      </x:c>
      <x:c r="C9" s="38" t="n">
        <x:v>46280</x:v>
      </x:c>
      <x:c r="D9" s="19" t="str">
        <x:v>Recebimento MED-002</x:v>
      </x:c>
      <x:c r="E9" s="19" t="str">
        <x:v>Receita</x:v>
      </x:c>
      <x:c r="F9" s="19" t="str">
        <x:v>Medição</x:v>
      </x:c>
      <x:c r="G9" s="36" t="n">
        <x:v>760000</x:v>
      </x:c>
      <x:c r="H9" s="19" t="str">
        <x:v>Recebido</x:v>
      </x:c>
    </x:row>
    <x:row r="10">
      <x:c r="A10" s="19" t="str">
        <x:v>Pavimentação Rodoviária SE-100 - Trecho Demonstrativo</x:v>
      </x:c>
      <x:c r="B10" s="38" t="n">
        <x:v>46295</x:v>
      </x:c>
      <x:c r="C10" s="38" t="n">
        <x:v>46310</x:v>
      </x:c>
      <x:c r="D10" s="19" t="str">
        <x:v>Fatura MED-003</x:v>
      </x:c>
      <x:c r="E10" s="19" t="str">
        <x:v>Receita</x:v>
      </x:c>
      <x:c r="F10" s="19" t="str">
        <x:v>Medição</x:v>
      </x:c>
      <x:c r="G10" s="36" t="n">
        <x:v>810000</x:v>
      </x:c>
      <x:c r="H10" s="19" t="str">
        <x:v>Pendente</x:v>
      </x:c>
    </x:row>
    <x:row r="11">
      <x:c r="A11" s="19" t="str">
        <x:v>Pavimentação Rodoviária SE-100 - Trecho Demonstrativo</x:v>
      </x:c>
      <x:c r="B11" s="38" t="n">
        <x:v>46295</x:v>
      </x:c>
      <x:c r="C11" s="38" t="n">
        <x:v>46300</x:v>
      </x:c>
      <x:c r="D11" s="19" t="str">
        <x:v>Folha e encargos setembro</x:v>
      </x:c>
      <x:c r="E11" s="19" t="str">
        <x:v>Despesa</x:v>
      </x:c>
      <x:c r="F11" s="19" t="str">
        <x:v>Pessoal</x:v>
      </x:c>
      <x:c r="G11" s="36" t="n">
        <x:v>285000</x:v>
      </x:c>
      <x:c r="H11" s="19" t="str">
        <x:v>Pago</x:v>
      </x:c>
    </x:row>
    <x:row r="12">
      <x:c r="A12" s="19" t="str">
        <x:v>Pavimentação Rodoviária SE-100 - Trecho Demonstrativo</x:v>
      </x:c>
      <x:c r="B12" s="38" t="n">
        <x:v>46295</x:v>
      </x:c>
      <x:c r="C12" s="38" t="n">
        <x:v>46305</x:v>
      </x:c>
      <x:c r="D12" s="19" t="str">
        <x:v>Locação equipamentos pesados</x:v>
      </x:c>
      <x:c r="E12" s="19" t="str">
        <x:v>Despesa</x:v>
      </x:c>
      <x:c r="F12" s="19" t="str">
        <x:v>Equipamentos</x:v>
      </x:c>
      <x:c r="G12" s="36" t="n">
        <x:v>165000</x:v>
      </x:c>
      <x:c r="H12" s="19" t="str">
        <x:v>Pago</x:v>
      </x:c>
    </x:row>
    <x:row r="13">
      <x:c r="A13" s="19" t="str">
        <x:v>Pavimentação Rodoviária SE-100 - Trecho Demonstrativo</x:v>
      </x:c>
      <x:c r="B13" s="38" t="n">
        <x:v>46295</x:v>
      </x:c>
      <x:c r="C13" s="38" t="n">
        <x:v>46307</x:v>
      </x:c>
      <x:c r="D13" s="19" t="str">
        <x:v>Materiais drenagem</x:v>
      </x:c>
      <x:c r="E13" s="19" t="str">
        <x:v>Despesa</x:v>
      </x:c>
      <x:c r="F13" s="19" t="str">
        <x:v>Materiais</x:v>
      </x:c>
      <x:c r="G13" s="36" t="n">
        <x:v>210000</x:v>
      </x:c>
      <x:c r="H13" s="19" t="str">
        <x:v>Pendente</x:v>
      </x:c>
    </x:row>
    <x:row r="14">
      <x:c r="A14" s="19" t="str">
        <x:v>Pavimentação Rodoviária SE-100 - Trecho Demonstrativo</x:v>
      </x:c>
      <x:c r="B14" s="38" t="n">
        <x:v>46296</x:v>
      </x:c>
      <x:c r="C14" s="38" t="n">
        <x:v>46336</x:v>
      </x:c>
      <x:c r="D14" s="19" t="str">
        <x:v>Provisionamento CBUQ</x:v>
      </x:c>
      <x:c r="E14" s="19" t="str">
        <x:v>Despesa</x:v>
      </x:c>
      <x:c r="F14" s="19" t="str">
        <x:v>Materiais</x:v>
      </x:c>
      <x:c r="G14" s="36" t="n">
        <x:v>480000</x:v>
      </x:c>
      <x:c r="H14" s="19" t="str">
        <x:v>Previsto</x:v>
      </x:c>
    </x:row>
  </x:sheetData>
  <x:dataValidations count="2">
    <x:dataValidation type="list" sqref="E2:E500">
      <x:formula1>"Receita,Despesa"</x:formula1>
    </x:dataValidation>
    <x:dataValidation type="list" sqref="H2:H500">
      <x:formula1>"Previsto,Pendente,Pago,Recebido,Vencido"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5b56d82516487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  <x:col min="3" max="3" width="30" hidden="0" customWidth="1"/>
    <x:col min="4" max="4" width="50" hidden="0" customWidth="1"/>
    <x:col min="5" max="5" width="14" hidden="0" customWidth="1"/>
    <x:col min="6" max="6" width="14" hidden="0" customWidth="1"/>
    <x:col min="7" max="7" width="20" hidden="0" customWidth="1"/>
    <x:col min="8" max="8" width="16" hidden="0" customWidth="1"/>
  </x:cols>
  <x:sheetData>
    <x:row r="1">
      <x:c r="A1" s="31" t="str">
        <x:v>Obra</x:v>
      </x:c>
      <x:c r="B1" s="31" t="str">
        <x:v>Número</x:v>
      </x:c>
      <x:c r="C1" s="31" t="str">
        <x:v>Contraparte</x:v>
      </x:c>
      <x:c r="D1" s="31" t="str">
        <x:v>Objeto</x:v>
      </x:c>
      <x:c r="E1" s="31" t="str">
        <x:v>Início</x:v>
      </x:c>
      <x:c r="F1" s="31" t="str">
        <x:v>Fim</x:v>
      </x:c>
      <x:c r="G1" s="31" t="str">
        <x:v>Valor</x:v>
      </x:c>
      <x:c r="H1" s="31" t="str">
        <x:v>Status</x:v>
      </x:c>
    </x:row>
    <x:row r="2">
      <x:c r="A2" s="19" t="str">
        <x:v>Revitalização do Complexo Administrativo - Aracaju</x:v>
      </x:c>
      <x:c r="B2" s="19" t="str">
        <x:v>CT-001/2026</x:v>
      </x:c>
      <x:c r="C2" s="19" t="str">
        <x:v>Grupo Exemplo Engenharia S.A.</x:v>
      </x:c>
      <x:c r="D2" s="19" t="str">
        <x:v>Contrato principal de revitalização</x:v>
      </x:c>
      <x:c r="E2" s="38" t="n">
        <x:v>46204</x:v>
      </x:c>
      <x:c r="F2" s="38" t="n">
        <x:v>46477</x:v>
      </x:c>
      <x:c r="G2" s="36" t="n">
        <x:v>4850000</x:v>
      </x:c>
      <x:c r="H2" s="19" t="str">
        <x:v>Ativo</x:v>
      </x:c>
    </x:row>
    <x:row r="3">
      <x:c r="A3" s="19" t="str">
        <x:v>Revitalização do Complexo Administrativo - Aracaju</x:v>
      </x:c>
      <x:c r="B3" s="19" t="str">
        <x:v>SC-014/2026</x:v>
      </x:c>
      <x:c r="C3" s="19" t="str">
        <x:v>EletroNordeste Comercial</x:v>
      </x:c>
      <x:c r="D3" s="19" t="str">
        <x:v>Subcontrato de instalações elétricas</x:v>
      </x:c>
      <x:c r="E3" s="38" t="n">
        <x:v>46266</x:v>
      </x:c>
      <x:c r="F3" s="38" t="n">
        <x:v>46376</x:v>
      </x:c>
      <x:c r="G3" s="36" t="n">
        <x:v>385000</x:v>
      </x:c>
      <x:c r="H3" s="19" t="str">
        <x:v>Ativo</x:v>
      </x:c>
    </x:row>
    <x:row r="4">
      <x:c r="A4" s="19" t="str">
        <x:v>Pavimentação Rodoviária SE-100 - Trecho Demonstrativo</x:v>
      </x:c>
      <x:c r="B4" s="19" t="str">
        <x:v>CT-100/2026</x:v>
      </x:c>
      <x:c r="C4" s="19" t="str">
        <x:v>DER/Cliente Demonstrativo</x:v>
      </x:c>
      <x:c r="D4" s="19" t="str">
        <x:v>Contrato principal de pavimentação SE-100</x:v>
      </x:c>
      <x:c r="E4" s="38" t="n">
        <x:v>46188</x:v>
      </x:c>
      <x:c r="F4" s="38" t="n">
        <x:v>46568</x:v>
      </x:c>
      <x:c r="G4" s="36" t="n">
        <x:v>12800000</x:v>
      </x:c>
      <x:c r="H4" s="19" t="str">
        <x:v>Ativo</x:v>
      </x:c>
    </x:row>
    <x:row r="5">
      <x:c r="A5" s="19" t="str">
        <x:v>Pavimentação Rodoviária SE-100 - Trecho Demonstrativo</x:v>
      </x:c>
      <x:c r="B5" s="19" t="str">
        <x:v>SC-021/2026</x:v>
      </x:c>
      <x:c r="C5" s="19" t="str">
        <x:v>TopGeo Serviços Técnicos</x:v>
      </x:c>
      <x:c r="D5" s="19" t="str">
        <x:v>Topografia e apoio geométrico</x:v>
      </x:c>
      <x:c r="E5" s="38" t="n">
        <x:v>46188</x:v>
      </x:c>
      <x:c r="F5" s="38" t="n">
        <x:v>46538</x:v>
      </x:c>
      <x:c r="G5" s="36" t="n">
        <x:v>245000</x:v>
      </x:c>
      <x:c r="H5" s="19" t="str">
        <x:v>Ativo</x:v>
      </x:c>
    </x:row>
  </x:sheetData>
  <x:dataValidations count="1">
    <x:dataValidation type="list" sqref="H2:H500">
      <x:formula1>"Ativo,Suspenso,Encerrado"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36f1e58bee4f7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8" hidden="0" customWidth="1"/>
    <x:col min="5" max="5" width="44" hidden="0" customWidth="1"/>
    <x:col min="6" max="6" width="14" hidden="0" customWidth="1"/>
  </x:cols>
  <x:sheetData>
    <x:row r="1">
      <x:c r="A1" s="31" t="str">
        <x:v>Nome</x:v>
      </x:c>
      <x:c r="B1" s="31" t="str">
        <x:v>Função</x:v>
      </x:c>
      <x:c r="C1" s="31" t="str">
        <x:v>Admissão</x:v>
      </x:c>
      <x:c r="D1" s="31" t="str">
        <x:v>Salário</x:v>
      </x:c>
      <x:c r="E1" s="31" t="str">
        <x:v>Obra alocada</x:v>
      </x:c>
      <x:c r="F1" s="31" t="str">
        <x:v>Status</x:v>
      </x:c>
    </x:row>
    <x:row r="2">
      <x:c r="A2" s="19" t="str">
        <x:v>Carlos Mendes</x:v>
      </x:c>
      <x:c r="B2" s="19" t="str">
        <x:v>Engenheiro Residente</x:v>
      </x:c>
      <x:c r="C2" s="38" t="n">
        <x:v>46193</x:v>
      </x:c>
      <x:c r="D2" s="36" t="n">
        <x:v>14500</x:v>
      </x:c>
      <x:c r="E2" s="19" t="str">
        <x:v>Revitalização do Complexo Administrativo - Aracaju</x:v>
      </x:c>
      <x:c r="F2" s="19" t="str">
        <x:v>Ativo</x:v>
      </x:c>
    </x:row>
    <x:row r="3">
      <x:c r="A3" s="19" t="str">
        <x:v>Ana Souza</x:v>
      </x:c>
      <x:c r="B3" s="19" t="str">
        <x:v>Engenheira Civil</x:v>
      </x:c>
      <x:c r="C3" s="38" t="n">
        <x:v>46204</x:v>
      </x:c>
      <x:c r="D3" s="36" t="n">
        <x:v>9800</x:v>
      </x:c>
      <x:c r="E3" s="19" t="str">
        <x:v>Revitalização do Complexo Administrativo - Aracaju</x:v>
      </x:c>
      <x:c r="F3" s="19" t="str">
        <x:v>Ativo</x:v>
      </x:c>
    </x:row>
    <x:row r="4">
      <x:c r="A4" s="19" t="str">
        <x:v>Paulo Reis</x:v>
      </x:c>
      <x:c r="B4" s="19" t="str">
        <x:v>Engenheiro Eletricista</x:v>
      </x:c>
      <x:c r="C4" s="38" t="n">
        <x:v>46254</x:v>
      </x:c>
      <x:c r="D4" s="36" t="n">
        <x:v>10500</x:v>
      </x:c>
      <x:c r="E4" s="19" t="str">
        <x:v>Revitalização do Complexo Administrativo - Aracaju</x:v>
      </x:c>
      <x:c r="F4" s="19" t="str">
        <x:v>Ativo</x:v>
      </x:c>
    </x:row>
    <x:row r="5">
      <x:c r="A5" s="19" t="str">
        <x:v>Marcos Lima</x:v>
      </x:c>
      <x:c r="B5" s="19" t="str">
        <x:v>Mestre de Obras</x:v>
      </x:c>
      <x:c r="C5" s="38" t="n">
        <x:v>46204</x:v>
      </x:c>
      <x:c r="D5" s="36" t="n">
        <x:v>6200</x:v>
      </x:c>
      <x:c r="E5" s="19" t="str">
        <x:v>Revitalização do Complexo Administrativo - Aracaju</x:v>
      </x:c>
      <x:c r="F5" s="19" t="str">
        <x:v>Ativo</x:v>
      </x:c>
    </x:row>
    <x:row r="6">
      <x:c r="A6" s="19" t="str">
        <x:v>Marina Alves</x:v>
      </x:c>
      <x:c r="B6" s="19" t="str">
        <x:v>Técnica de Segurança</x:v>
      </x:c>
      <x:c r="C6" s="38" t="n">
        <x:v>46204</x:v>
      </x:c>
      <x:c r="D6" s="36" t="n">
        <x:v>4800</x:v>
      </x:c>
      <x:c r="E6" s="19" t="str">
        <x:v>Revitalização do Complexo Administrativo - Aracaju</x:v>
      </x:c>
      <x:c r="F6" s="19" t="str">
        <x:v>Ativo</x:v>
      </x:c>
    </x:row>
    <x:row r="7">
      <x:c r="A7" s="19" t="str">
        <x:v>João Ferreira</x:v>
      </x:c>
      <x:c r="B7" s="19" t="str">
        <x:v>Engenheiro Residente</x:v>
      </x:c>
      <x:c r="C7" s="38" t="n">
        <x:v>46174</x:v>
      </x:c>
      <x:c r="D7" s="36" t="n">
        <x:v>15500</x:v>
      </x:c>
      <x:c r="E7" s="19" t="str">
        <x:v>Pavimentação Rodoviária SE-100 - Trecho Demonstrativo</x:v>
      </x:c>
      <x:c r="F7" s="19" t="str">
        <x:v>Ativo</x:v>
      </x:c>
    </x:row>
    <x:row r="8">
      <x:c r="A8" s="19" t="str">
        <x:v>Eduardo Costa</x:v>
      </x:c>
      <x:c r="B8" s="19" t="str">
        <x:v>Engenheiro Civil</x:v>
      </x:c>
      <x:c r="C8" s="38" t="n">
        <x:v>46188</x:v>
      </x:c>
      <x:c r="D8" s="36" t="n">
        <x:v>10200</x:v>
      </x:c>
      <x:c r="E8" s="19" t="str">
        <x:v>Pavimentação Rodoviária SE-100 - Trecho Demonstrativo</x:v>
      </x:c>
      <x:c r="F8" s="19" t="str">
        <x:v>Ativo</x:v>
      </x:c>
    </x:row>
    <x:row r="9">
      <x:c r="A9" s="19" t="str">
        <x:v>Sérgio Santos</x:v>
      </x:c>
      <x:c r="B9" s="19" t="str">
        <x:v>Encarregado Pavimentação</x:v>
      </x:c>
      <x:c r="C9" s="38" t="n">
        <x:v>46235</x:v>
      </x:c>
      <x:c r="D9" s="36" t="n">
        <x:v>6900</x:v>
      </x:c>
      <x:c r="E9" s="19" t="str">
        <x:v>Pavimentação Rodoviária SE-100 - Trecho Demonstrativo</x:v>
      </x:c>
      <x:c r="F9" s="19" t="str">
        <x:v>Ativo</x:v>
      </x:c>
    </x:row>
    <x:row r="10">
      <x:c r="A10" s="19" t="str">
        <x:v>Luciano Melo</x:v>
      </x:c>
      <x:c r="B10" s="19" t="str">
        <x:v>Encarregado Drenagem</x:v>
      </x:c>
      <x:c r="C10" s="38" t="n">
        <x:v>46193</x:v>
      </x:c>
      <x:c r="D10" s="36" t="n">
        <x:v>6500</x:v>
      </x:c>
      <x:c r="E10" s="19" t="str">
        <x:v>Pavimentação Rodoviária SE-100 - Trecho Demonstrativo</x:v>
      </x:c>
      <x:c r="F10" s="19" t="str">
        <x:v>Ativo</x:v>
      </x:c>
    </x:row>
    <x:row r="11">
      <x:c r="A11" s="19" t="str">
        <x:v>Bruno Dias</x:v>
      </x:c>
      <x:c r="B11" s="19" t="str">
        <x:v>Técnico de Segurança</x:v>
      </x:c>
      <x:c r="C11" s="38" t="n">
        <x:v>46188</x:v>
      </x:c>
      <x:c r="D11" s="36" t="n">
        <x:v>4900</x:v>
      </x:c>
      <x:c r="E11" s="19" t="str">
        <x:v>Pavimentação Rodoviária SE-100 - Trecho Demonstrativo</x:v>
      </x:c>
      <x:c r="F11" s="19" t="str">
        <x:v>Ativo</x:v>
      </x:c>
    </x:row>
  </x:sheetData>
  <x:dataValidations count="1">
    <x:dataValidation type="list" sqref="F2:F500">
      <x:formula1>"Ativo,Férias,Inativo"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0bdbc8f64840f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28" hidden="0" customWidth="1"/>
    <x:col min="4" max="4" width="55" hidden="0" customWidth="1"/>
    <x:col min="5" max="5" width="24" hidden="0" customWidth="1"/>
    <x:col min="6" max="6" width="14" hidden="0" customWidth="1"/>
    <x:col min="7" max="7" width="14" hidden="0" customWidth="1"/>
    <x:col min="8" max="8" width="18" hidden="0" customWidth="1"/>
  </x:cols>
  <x:sheetData>
    <x:row r="1">
      <x:c r="A1" s="31" t="str">
        <x:v>Obra</x:v>
      </x:c>
      <x:c r="B1" s="31" t="str">
        <x:v>Data</x:v>
      </x:c>
      <x:c r="C1" s="31" t="str">
        <x:v>Etapa ou serviço</x:v>
      </x:c>
      <x:c r="D1" s="31" t="str">
        <x:v>Não conformidade</x:v>
      </x:c>
      <x:c r="E1" s="31" t="str">
        <x:v>Responsável</x:v>
      </x:c>
      <x:c r="F1" s="31" t="str">
        <x:v>Prazo</x:v>
      </x:c>
      <x:c r="G1" s="31" t="str">
        <x:v>Severidade</x:v>
      </x:c>
      <x:c r="H1" s="31" t="str">
        <x:v>Status</x:v>
      </x:c>
    </x:row>
    <x:row r="2">
      <x:c r="A2" s="19" t="str">
        <x:v>Revitalização do Complexo Administrativo - Aracaju</x:v>
      </x:c>
      <x:c r="B2" s="38" t="n">
        <x:v>46252</x:v>
      </x:c>
      <x:c r="C2" s="19" t="str">
        <x:v>Reforço estrutural</x:v>
      </x:c>
      <x:c r="D2" s="19" t="str">
        <x:v>Falha localizada de cobrimento em elemento recuperado</x:v>
      </x:c>
      <x:c r="E2" s="19" t="str">
        <x:v>Ana Souza</x:v>
      </x:c>
      <x:c r="F2" s="38" t="n">
        <x:v>46259</x:v>
      </x:c>
      <x:c r="G2" s="19" t="str">
        <x:v>Maior</x:v>
      </x:c>
      <x:c r="H2" s="19" t="str">
        <x:v>Resolvida</x:v>
      </x:c>
    </x:row>
    <x:row r="3">
      <x:c r="A3" s="19" t="str">
        <x:v>Revitalização do Complexo Administrativo - Aracaju</x:v>
      </x:c>
      <x:c r="B3" s="38" t="n">
        <x:v>46287</x:v>
      </x:c>
      <x:c r="C3" s="19" t="str">
        <x:v>Instalações elétricas</x:v>
      </x:c>
      <x:c r="D3" s="19" t="str">
        <x:v>Identificação incompleta de circuitos no quadro QD-03</x:v>
      </x:c>
      <x:c r="E3" s="19" t="str">
        <x:v>Paulo Reis</x:v>
      </x:c>
      <x:c r="F3" s="38" t="n">
        <x:v>46295</x:v>
      </x:c>
      <x:c r="G3" s="19" t="str">
        <x:v>Menor</x:v>
      </x:c>
      <x:c r="H3" s="19" t="str">
        <x:v>Em andamento</x:v>
      </x:c>
    </x:row>
    <x:row r="4">
      <x:c r="A4" s="19" t="str">
        <x:v>Pavimentação Rodoviária SE-100 - Trecho Demonstrativo</x:v>
      </x:c>
      <x:c r="B4" s="38" t="n">
        <x:v>46246</x:v>
      </x:c>
      <x:c r="C4" s="19" t="str">
        <x:v>Terraplenagem</x:v>
      </x:c>
      <x:c r="D4" s="19" t="str">
        <x:v>Trecho com grau de compactação abaixo da especificação</x:v>
      </x:c>
      <x:c r="E4" s="19" t="str">
        <x:v>Eduardo Costa</x:v>
      </x:c>
      <x:c r="F4" s="38" t="n">
        <x:v>46249</x:v>
      </x:c>
      <x:c r="G4" s="19" t="str">
        <x:v>Maior</x:v>
      </x:c>
      <x:c r="H4" s="19" t="str">
        <x:v>Resolvida</x:v>
      </x:c>
    </x:row>
    <x:row r="5">
      <x:c r="A5" s="19" t="str">
        <x:v>Pavimentação Rodoviária SE-100 - Trecho Demonstrativo</x:v>
      </x:c>
      <x:c r="B5" s="38" t="n">
        <x:v>46290</x:v>
      </x:c>
      <x:c r="C5" s="19" t="str">
        <x:v>Drenagem</x:v>
      </x:c>
      <x:c r="D5" s="19" t="str">
        <x:v>Cota de assentamento divergente em segmento de tubo</x:v>
      </x:c>
      <x:c r="E5" s="19" t="str">
        <x:v>Luciano Melo</x:v>
      </x:c>
      <x:c r="F5" s="38" t="n">
        <x:v>46298</x:v>
      </x:c>
      <x:c r="G5" s="19" t="str">
        <x:v>Maior</x:v>
      </x:c>
      <x:c r="H5" s="19" t="str">
        <x:v>Em andamento</x:v>
      </x:c>
    </x:row>
    <x:row r="6">
      <x:c r="A6" s="19" t="str">
        <x:v>Pavimentação Rodoviária SE-100 - Trecho Demonstrativo</x:v>
      </x:c>
      <x:c r="B6" s="38" t="n">
        <x:v>46296</x:v>
      </x:c>
      <x:c r="C6" s="19" t="str">
        <x:v>Sub-base</x:v>
      </x:c>
      <x:c r="D6" s="19" t="str">
        <x:v>Granulometria de amostra fora da faixa em lote isolado</x:v>
      </x:c>
      <x:c r="E6" s="19" t="str">
        <x:v>Eduardo Costa</x:v>
      </x:c>
      <x:c r="F6" s="38" t="n">
        <x:v>46301</x:v>
      </x:c>
      <x:c r="G6" s="19" t="str">
        <x:v>Crítica</x:v>
      </x:c>
      <x:c r="H6" s="19" t="str">
        <x:v>Aberta</x:v>
      </x:c>
    </x:row>
  </x:sheetData>
  <x:dataValidations count="2">
    <x:dataValidation type="list" sqref="G2:G500">
      <x:formula1>"Crítica,Maior,Menor"</x:formula1>
    </x:dataValidation>
    <x:dataValidation type="list" sqref="H2:H500">
      <x:formula1>"Aberta,Em andamento,Resolvida"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f17187d0034a8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18" hidden="0" customWidth="1"/>
    <x:col min="4" max="4" width="55" hidden="0" customWidth="1"/>
    <x:col min="5" max="5" width="24" hidden="0" customWidth="1"/>
    <x:col min="6" max="6" width="20" hidden="0" customWidth="1"/>
  </x:cols>
  <x:sheetData>
    <x:row r="1">
      <x:c r="A1" s="31" t="str">
        <x:v>Obra</x:v>
      </x:c>
      <x:c r="B1" s="31" t="str">
        <x:v>Data</x:v>
      </x:c>
      <x:c r="C1" s="31" t="str">
        <x:v>Tipo</x:v>
      </x:c>
      <x:c r="D1" s="31" t="str">
        <x:v>Descrição</x:v>
      </x:c>
      <x:c r="E1" s="31" t="str">
        <x:v>Responsável</x:v>
      </x:c>
      <x:c r="F1" s="31" t="str">
        <x:v>Status</x:v>
      </x:c>
    </x:row>
    <x:row r="2">
      <x:c r="A2" s="19" t="str">
        <x:v>Revitalização do Complexo Administrativo - Aracaju</x:v>
      </x:c>
      <x:c r="B2" s="38" t="n">
        <x:v>46266</x:v>
      </x:c>
      <x:c r="C2" s="19" t="str">
        <x:v>DDS</x:v>
      </x:c>
      <x:c r="D2" s="19" t="str">
        <x:v>Trabalho em altura e inspeção de linhas de vida</x:v>
      </x:c>
      <x:c r="E2" s="19" t="str">
        <x:v>Marina Alves</x:v>
      </x:c>
      <x:c r="F2" s="19" t="str">
        <x:v>Concluído</x:v>
      </x:c>
    </x:row>
    <x:row r="3">
      <x:c r="A3" s="19" t="str">
        <x:v>Revitalização do Complexo Administrativo - Aracaju</x:v>
      </x:c>
      <x:c r="B3" s="38" t="n">
        <x:v>46283</x:v>
      </x:c>
      <x:c r="C3" s="19" t="str">
        <x:v>Inspeção</x:v>
      </x:c>
      <x:c r="D3" s="19" t="str">
        <x:v>Verificação de guarda-corpos e isolamento de áreas</x:v>
      </x:c>
      <x:c r="E3" s="19" t="str">
        <x:v>Marina Alves</x:v>
      </x:c>
      <x:c r="F3" s="19" t="str">
        <x:v>Concluído</x:v>
      </x:c>
    </x:row>
    <x:row r="4">
      <x:c r="A4" s="19" t="str">
        <x:v>Revitalização do Complexo Administrativo - Aracaju</x:v>
      </x:c>
      <x:c r="B4" s="38" t="n">
        <x:v>46297</x:v>
      </x:c>
      <x:c r="C4" s="19" t="str">
        <x:v>Treinamento</x:v>
      </x:c>
      <x:c r="D4" s="19" t="str">
        <x:v>Reciclagem NR-10 para equipe elétrica</x:v>
      </x:c>
      <x:c r="E4" s="19" t="str">
        <x:v>Paulo Reis</x:v>
      </x:c>
      <x:c r="F4" s="19" t="str">
        <x:v>Em acompanhamento</x:v>
      </x:c>
    </x:row>
    <x:row r="5">
      <x:c r="A5" s="19" t="str">
        <x:v>Pavimentação Rodoviária SE-100 - Trecho Demonstrativo</x:v>
      </x:c>
      <x:c r="B5" s="38" t="n">
        <x:v>46237</x:v>
      </x:c>
      <x:c r="C5" s="19" t="str">
        <x:v>DDS</x:v>
      </x:c>
      <x:c r="D5" s="19" t="str">
        <x:v>Operação segura de máquinas pesadas</x:v>
      </x:c>
      <x:c r="E5" s="19" t="str">
        <x:v>Bruno Dias</x:v>
      </x:c>
      <x:c r="F5" s="19" t="str">
        <x:v>Concluído</x:v>
      </x:c>
    </x:row>
    <x:row r="6">
      <x:c r="A6" s="19" t="str">
        <x:v>Pavimentação Rodoviária SE-100 - Trecho Demonstrativo</x:v>
      </x:c>
      <x:c r="B6" s="38" t="n">
        <x:v>46277</x:v>
      </x:c>
      <x:c r="C6" s="19" t="str">
        <x:v>Inspeção</x:v>
      </x:c>
      <x:c r="D6" s="19" t="str">
        <x:v>Sinalização temporária e desvios de tráfego</x:v>
      </x:c>
      <x:c r="E6" s="19" t="str">
        <x:v>Bruno Dias</x:v>
      </x:c>
      <x:c r="F6" s="19" t="str">
        <x:v>Concluído</x:v>
      </x:c>
    </x:row>
    <x:row r="7">
      <x:c r="A7" s="19" t="str">
        <x:v>Pavimentação Rodoviária SE-100 - Trecho Demonstrativo</x:v>
      </x:c>
      <x:c r="B7" s="38" t="n">
        <x:v>46296</x:v>
      </x:c>
      <x:c r="C7" s="19" t="str">
        <x:v>Incidente</x:v>
      </x:c>
      <x:c r="D7" s="19" t="str">
        <x:v>Quase-acidente sem lesão na área de descarga</x:v>
      </x:c>
      <x:c r="E7" s="19" t="str">
        <x:v>Bruno Dias</x:v>
      </x:c>
      <x:c r="F7" s="19" t="str">
        <x:v>Em acompanhamento</x:v>
      </x:c>
    </x:row>
  </x:sheetData>
  <x:dataValidations count="2">
    <x:dataValidation type="list" sqref="C2:C500">
      <x:formula1>"DDS,Inspeção,Incidente,Treinamento"</x:formula1>
    </x:dataValidation>
    <x:dataValidation type="list" sqref="F2:F500">
      <x:formula1>"Aberto,Em acompanhamento,Concluído"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f0a6b8ae3f473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6" hidden="0" customWidth="1"/>
    <x:col min="3" max="3" width="20" hidden="0" customWidth="1"/>
    <x:col min="4" max="4" width="14" hidden="0" customWidth="1"/>
    <x:col min="5" max="5" width="16" hidden="0" customWidth="1"/>
    <x:col min="6" max="6" width="12" hidden="0" customWidth="1"/>
    <x:col min="7" max="7" width="18" hidden="0" customWidth="1"/>
    <x:col min="8" max="8" width="34" hidden="0" customWidth="1"/>
    <x:col min="9" max="9" width="45" hidden="0" customWidth="1"/>
  </x:cols>
  <x:sheetData>
    <x:row r="1">
      <x:c r="A1" s="31" t="str">
        <x:v>Obra</x:v>
      </x:c>
      <x:c r="B1" s="31" t="str">
        <x:v>Nome do documento</x:v>
      </x:c>
      <x:c r="C1" s="31" t="str">
        <x:v>Categoria</x:v>
      </x:c>
      <x:c r="D1" s="31" t="str">
        <x:v>Data</x:v>
      </x:c>
      <x:c r="E1" s="31" t="str">
        <x:v>Vencimento</x:v>
      </x:c>
      <x:c r="F1" s="31" t="str">
        <x:v>Revisão</x:v>
      </x:c>
      <x:c r="G1" s="31" t="str">
        <x:v>Status</x:v>
      </x:c>
      <x:c r="H1" s="31" t="str">
        <x:v>Link HTTPS</x:v>
      </x:c>
      <x:c r="I1" s="31" t="str">
        <x:v>Observações</x:v>
      </x:c>
    </x:row>
    <x:row r="2">
      <x:c r="A2" s="19" t="str">
        <x:v>Revitalização do Complexo Administrativo - Aracaju</x:v>
      </x:c>
      <x:c r="B2" s="19" t="str">
        <x:v>ART - Responsabilidade Técnica</x:v>
      </x:c>
      <x:c r="C2" s="19" t="str">
        <x:v>Legal</x:v>
      </x:c>
      <x:c r="D2" s="38" t="n">
        <x:v>46204</x:v>
      </x:c>
      <x:c r="E2" s="38" t="n">
        <x:v>46477</x:v>
      </x:c>
      <x:c r="F2" s="19" t="str">
        <x:v>R0</x:v>
      </x:c>
      <x:c r="G2" s="19" t="str">
        <x:v>Aprovado</x:v>
      </x:c>
      <x:c r="H2" s="19" t="str">
        <x:v>https://exemplo.com/art-obra1</x:v>
      </x:c>
      <x:c r="I2" s="19" t="str">
        <x:v>Documento fictício de exemplo.</x:v>
      </x:c>
    </x:row>
    <x:row r="3">
      <x:c r="A3" s="19" t="str">
        <x:v>Revitalização do Complexo Administrativo - Aracaju</x:v>
      </x:c>
      <x:c r="B3" s="19" t="str">
        <x:v>Plano de Gerenciamento de Riscos</x:v>
      </x:c>
      <x:c r="C3" s="19" t="str">
        <x:v>Segurança</x:v>
      </x:c>
      <x:c r="D3" s="38" t="n">
        <x:v>46204</x:v>
      </x:c>
      <x:c r="E3" s="38" t="n">
        <x:v>46477</x:v>
      </x:c>
      <x:c r="F3" s="19" t="str">
        <x:v>R1</x:v>
      </x:c>
      <x:c r="G3" s="19" t="str">
        <x:v>Aprovado</x:v>
      </x:c>
      <x:c r="H3" s="19" t="str">
        <x:v>https://exemplo.com/pgr-obra1</x:v>
      </x:c>
      <x:c r="I3" s="19" t="str">
        <x:v>Revisão após mobilização.</x:v>
      </x:c>
    </x:row>
    <x:row r="4">
      <x:c r="A4" s="19" t="str">
        <x:v>Revitalização do Complexo Administrativo - Aracaju</x:v>
      </x:c>
      <x:c r="B4" s="19" t="str">
        <x:v>Projeto Elétrico Executivo</x:v>
      </x:c>
      <x:c r="C4" s="19" t="str">
        <x:v>Projeto</x:v>
      </x:c>
      <x:c r="D4" s="38" t="n">
        <x:v>46249</x:v>
      </x:c>
      <x:c r="E4" s="38"/>
      <x:c r="F4" s="19" t="str">
        <x:v>R2</x:v>
      </x:c>
      <x:c r="G4" s="19" t="str">
        <x:v>Aprovado</x:v>
      </x:c>
      <x:c r="H4" s="19" t="str">
        <x:v>https://exemplo.com/projeto-eletrico</x:v>
      </x:c>
      <x:c r="I4" s="19" t="str">
        <x:v>Exemplo.</x:v>
      </x:c>
    </x:row>
    <x:row r="5">
      <x:c r="A5" s="19" t="str">
        <x:v>Pavimentação Rodoviária SE-100 - Trecho Demonstrativo</x:v>
      </x:c>
      <x:c r="B5" s="19" t="str">
        <x:v>ART - Responsabilidade Técnica</x:v>
      </x:c>
      <x:c r="C5" s="19" t="str">
        <x:v>Legal</x:v>
      </x:c>
      <x:c r="D5" s="38" t="n">
        <x:v>46188</x:v>
      </x:c>
      <x:c r="E5" s="38" t="n">
        <x:v>46568</x:v>
      </x:c>
      <x:c r="F5" s="19" t="str">
        <x:v>R0</x:v>
      </x:c>
      <x:c r="G5" s="19" t="str">
        <x:v>Aprovado</x:v>
      </x:c>
      <x:c r="H5" s="19" t="str">
        <x:v>https://exemplo.com/art-obra2</x:v>
      </x:c>
      <x:c r="I5" s="19" t="str">
        <x:v>Documento fictício de exemplo.</x:v>
      </x:c>
    </x:row>
    <x:row r="6">
      <x:c r="A6" s="19" t="str">
        <x:v>Pavimentação Rodoviária SE-100 - Trecho Demonstrativo</x:v>
      </x:c>
      <x:c r="B6" s="19" t="str">
        <x:v>Projeto Geométrico</x:v>
      </x:c>
      <x:c r="C6" s="19" t="str">
        <x:v>Projeto</x:v>
      </x:c>
      <x:c r="D6" s="38" t="n">
        <x:v>46183</x:v>
      </x:c>
      <x:c r="E6" s="38"/>
      <x:c r="F6" s="19" t="str">
        <x:v>R3</x:v>
      </x:c>
      <x:c r="G6" s="19" t="str">
        <x:v>Aprovado</x:v>
      </x:c>
      <x:c r="H6" s="19" t="str">
        <x:v>https://exemplo.com/geometrico</x:v>
      </x:c>
      <x:c r="I6" s="19" t="str">
        <x:v>Exemplo.</x:v>
      </x:c>
    </x:row>
    <x:row r="7">
      <x:c r="A7" s="19" t="str">
        <x:v>Pavimentação Rodoviária SE-100 - Trecho Demonstrativo</x:v>
      </x:c>
      <x:c r="B7" s="19" t="str">
        <x:v>Plano de Sinalização Temporária</x:v>
      </x:c>
      <x:c r="C7" s="19" t="str">
        <x:v>Segurança</x:v>
      </x:c>
      <x:c r="D7" s="38" t="n">
        <x:v>46193</x:v>
      </x:c>
      <x:c r="E7" s="38" t="n">
        <x:v>46568</x:v>
      </x:c>
      <x:c r="F7" s="19" t="str">
        <x:v>R1</x:v>
      </x:c>
      <x:c r="G7" s="19" t="str">
        <x:v>Em aprovação</x:v>
      </x:c>
      <x:c r="H7" s="19" t="str">
        <x:v>https://exemplo.com/sinalizacao</x:v>
      </x:c>
      <x:c r="I7" s="19" t="str">
        <x:v>Exemplo.</x:v>
      </x:c>
    </x:row>
  </x:sheetData>
  <x:dataValidations count="1">
    <x:dataValidation type="list" sqref="G2:G500">
      <x:formula1>"Rascunho,Em aprovação,Aprovado,Vencido"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a9ac3120ee4dc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6" hidden="0" customWidth="1"/>
    <x:col min="4" max="4" width="20" hidden="0" customWidth="1"/>
    <x:col min="5" max="5" width="20" hidden="0" customWidth="1"/>
    <x:col min="6" max="6" width="55" hidden="0" customWidth="1"/>
  </x:cols>
  <x:sheetData>
    <x:row r="1">
      <x:c r="A1" s="31" t="str">
        <x:v>Data/Hora</x:v>
      </x:c>
      <x:c r="B1" s="31" t="str">
        <x:v>Usuário</x:v>
      </x:c>
      <x:c r="C1" s="31" t="str">
        <x:v>Ação</x:v>
      </x:c>
      <x:c r="D1" s="31" t="str">
        <x:v>Módulo</x:v>
      </x:c>
      <x:c r="E1" s="31" t="str">
        <x:v>Registro</x:v>
      </x:c>
      <x:c r="F1" s="31" t="str">
        <x:v>Detalhes</x:v>
      </x:c>
    </x:row>
    <x:row r="2">
      <x:c r="A2" s="38" t="n">
        <x:v>46266.34027777778</x:v>
      </x:c>
      <x:c r="B2" s="19" t="str">
        <x:v>administrador@exemplo.com</x:v>
      </x:c>
      <x:c r="C2" s="19" t="str">
        <x:v>create</x:v>
      </x:c>
      <x:c r="D2" s="19" t="str">
        <x:v>Obras</x:v>
      </x:c>
      <x:c r="E2" s="19" t="str">
        <x:v>OBRA-01</x:v>
      </x:c>
      <x:c r="F2" s="19" t="str">
        <x:v>Cadastro da obra exemplo 01</x:v>
      </x:c>
    </x:row>
    <x:row r="3">
      <x:c r="A3" s="38" t="n">
        <x:v>46266.34375</x:v>
      </x:c>
      <x:c r="B3" s="19" t="str">
        <x:v>administrador@exemplo.com</x:v>
      </x:c>
      <x:c r="C3" s="19" t="str">
        <x:v>create</x:v>
      </x:c>
      <x:c r="D3" s="19" t="str">
        <x:v>Obras</x:v>
      </x:c>
      <x:c r="E3" s="19" t="str">
        <x:v>OBRA-02</x:v>
      </x:c>
      <x:c r="F3" s="19" t="str">
        <x:v>Cadastro da obra exemplo 02</x:v>
      </x:c>
    </x:row>
    <x:row r="4">
      <x:c r="A4" s="38" t="n">
        <x:v>46266.34722222222</x:v>
      </x:c>
      <x:c r="B4" s="19" t="str">
        <x:v>administrador@exemplo.com</x:v>
      </x:c>
      <x:c r="C4" s="19" t="str">
        <x:v>invite</x:v>
      </x:c>
      <x:c r="D4" s="19" t="str">
        <x:v>Equipe</x:v>
      </x:c>
      <x:c r="E4" s="19" t="str">
        <x:v>USR-01</x:v>
      </x:c>
      <x:c r="F4" s="19" t="str">
        <x:v>Convite para engenheiro obra 01</x:v>
      </x:c>
    </x:row>
    <x:row r="5">
      <x:c r="A5" s="38" t="n">
        <x:v>46266.350694444445</x:v>
      </x:c>
      <x:c r="B5" s="19" t="str">
        <x:v>administrador@exemplo.com</x:v>
      </x:c>
      <x:c r="C5" s="19" t="str">
        <x:v>invite</x:v>
      </x:c>
      <x:c r="D5" s="19" t="str">
        <x:v>Equipe</x:v>
      </x:c>
      <x:c r="E5" s="19" t="str">
        <x:v>USR-02</x:v>
      </x:c>
      <x:c r="F5" s="19" t="str">
        <x:v>Convite para engenheiro obra 02</x:v>
      </x:c>
    </x:row>
    <x:row r="6">
      <x:c r="A6" s="38" t="n">
        <x:v>46267.375</x:v>
      </x:c>
      <x:c r="B6" s="19" t="str">
        <x:v>engenheiro.obra01@exemplo.com</x:v>
      </x:c>
      <x:c r="C6" s="19" t="str">
        <x:v>create</x:v>
      </x:c>
      <x:c r="D6" s="19" t="str">
        <x:v>Cronograma</x:v>
      </x:c>
      <x:c r="E6" s="19" t="str">
        <x:v>ATV-01</x:v>
      </x:c>
      <x:c r="F6" s="19" t="str">
        <x:v>Inclusão de atividade na obra 01</x:v>
      </x:c>
    </x:row>
    <x:row r="7">
      <x:c r="A7" s="38" t="n">
        <x:v>46267.395833333336</x:v>
      </x:c>
      <x:c r="B7" s="19" t="str">
        <x:v>engenheiro.obra02@exemplo.com</x:v>
      </x:c>
      <x:c r="C7" s="19" t="str">
        <x:v>update</x:v>
      </x:c>
      <x:c r="D7" s="19" t="str">
        <x:v>Equipamentos</x:v>
      </x:c>
      <x:c r="E7" s="19" t="str">
        <x:v>EQ-102</x:v>
      </x:c>
      <x:c r="F7" s="19" t="str">
        <x:v>Atualização de horímetro</x:v>
      </x:c>
    </x:row>
  </x:sheetData>
  <x:pageMargins left="0.7" right="0.7" top="0.75" bottom="0.75" header="0.3" footer="0.3"/>
  <x:tableParts count="1">
    <x:tablePart xmlns:r="http://schemas.openxmlformats.org/officeDocument/2006/relationships" r:id="Rdcc655d444ba41c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4" max="4" width="52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5" t="str">
        <x:v>ObraTop - Painel Resumo da Base-Exemplo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31" t="str">
        <x:v>Indicador</x:v>
      </x:c>
      <x:c r="B4" s="31" t="str">
        <x:v>Valor</x:v>
      </x:c>
      <x:c r="D4" s="31" t="str">
        <x:v>Obra</x:v>
      </x:c>
      <x:c r="E4" s="31" t="str">
        <x:v>Contratado</x:v>
      </x:c>
      <x:c r="F4" s="31" t="str">
        <x:v>Medições</x:v>
      </x:c>
      <x:c r="G4" s="31" t="str">
        <x:v>Progresso (%)</x:v>
      </x:c>
    </x:row>
    <x:row r="5">
      <x:c r="A5" s="13" t="str">
        <x:v>Obras cadastradas</x:v>
      </x:c>
      <x:c r="B5" t="n">
        <x:f>COUNTA(OBRAS!A2:A100)</x:f>
        <x:v>2</x:v>
      </x:c>
      <x:c r="D5" t="str">
        <x:v>Revitalização do Complexo Administrativo - Aracaju</x:v>
      </x:c>
      <x:c r="E5" s="42" t="n">
        <x:v>4850000</x:v>
      </x:c>
      <x:c r="F5" s="42" t="n">
        <x:v>1480000</x:v>
      </x:c>
      <x:c r="G5" s="44" t="n">
        <x:v>28</x:v>
      </x:c>
    </x:row>
    <x:row r="6">
      <x:c r="A6" s="13" t="str">
        <x:v>Valor contratado</x:v>
      </x:c>
      <x:c r="B6" s="42" t="n">
        <x:f>SUM(OBRAS!F2:F100)</x:f>
        <x:v>17650000</x:v>
      </x:c>
      <x:c r="D6" t="str">
        <x:v>Pavimentação Rodoviária SE-100 - Trecho Demonstrativo</x:v>
      </x:c>
      <x:c r="E6" s="42" t="n">
        <x:v>12800000</x:v>
      </x:c>
      <x:c r="F6" s="42" t="n">
        <x:v>2880000</x:v>
      </x:c>
      <x:c r="G6" s="44" t="n">
        <x:v>22</x:v>
      </x:c>
    </x:row>
    <x:row r="7">
      <x:c r="A7" s="13" t="str">
        <x:v>Orçamento com BDI</x:v>
      </x:c>
      <x:c r="B7" s="42" t="n">
        <x:f>SUM(ORCAMENTO!H2:H500)</x:f>
        <x:v>17807325</x:v>
      </x:c>
      <x:c r="D7" t="str">
        <x:v>TOTAL</x:v>
      </x:c>
      <x:c r="E7" s="42" t="n">
        <x:f>SUM(E5:E6)</x:f>
        <x:v>17650000</x:v>
      </x:c>
      <x:c r="F7" s="42" t="n">
        <x:f>SUM(F5:F6)</x:f>
        <x:v>4360000</x:v>
      </x:c>
      <x:c r="G7" s="44" t="n">
        <x:f>AVERAGE(G5:G6)</x:f>
        <x:v>25</x:v>
      </x:c>
    </x:row>
    <x:row r="8">
      <x:c r="A8" s="13" t="str">
        <x:v>Valor medido</x:v>
      </x:c>
      <x:c r="B8" s="42" t="n">
        <x:f>SUM(MEDICOES!F2:F500)</x:f>
        <x:v>4360000</x:v>
      </x:c>
    </x:row>
    <x:row r="9">
      <x:c r="A9" s="13" t="str">
        <x:v>Receitas lançadas</x:v>
      </x:c>
      <x:c r="B9" s="42" t="n">
        <x:f>SUMIF(FINANCEIRO!E2:E500,"Receita",FINANCEIRO!G2:G500)</x:f>
        <x:v>3385000</x:v>
      </x:c>
    </x:row>
    <x:row r="10">
      <x:c r="A10" s="13" t="str">
        <x:v>Despesas lançadas</x:v>
      </x:c>
      <x:c r="B10" s="42" t="n">
        <x:f>SUMIF(FINANCEIRO!E2:E500,"Despesa",FINANCEIRO!G2:G500)</x:f>
        <x:v>1545000</x:v>
      </x:c>
    </x:row>
    <x:row r="12">
      <x:c r="A12" s="72" t="str">
        <x:v>Resumo EAP / Cronograma V3.12</x:v>
      </x:c>
      <x:c r="B12" s="72"/>
      <x:c r="C12" s="72"/>
      <x:c r="D12" s="72"/>
      <x:c r="E12" s="72"/>
      <x:c r="F12" s="72"/>
      <x:c r="G12" s="72"/>
    </x:row>
    <x:row r="13">
      <x:c r="A13" s="144" t="str">
        <x:v>Indicador</x:v>
      </x:c>
      <x:c r="B13" s="144" t="str">
        <x:v>Valor</x:v>
      </x:c>
    </x:row>
    <x:row r="14">
      <x:c r="A14" s="19" t="str">
        <x:v>Itens EAP totais</x:v>
      </x:c>
      <x:c r="B14" s="19" t="n">
        <x:v>78</x:v>
      </x:c>
    </x:row>
    <x:row r="15">
      <x:c r="A15" s="19" t="str">
        <x:v>Tarefas Gantt</x:v>
      </x:c>
      <x:c r="B15" s="19" t="n">
        <x:v>58</x:v>
      </x:c>
    </x:row>
    <x:row r="16">
      <x:c r="A16" s="19" t="str">
        <x:v>Obras com EAP gráfica</x:v>
      </x:c>
      <x:c r="B16" s="19" t="n">
        <x:v>2</x:v>
      </x:c>
    </x:row>
  </x:sheetData>
  <x:mergeCells>
    <x:mergeCell ref="A1:H2"/>
    <x:mergeCell ref="A12:G12"/>
  </x:mergeCells>
  <x:conditionalFormatting sqref="G5:G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{73AC565A-CD0F-A125-1140-E257223D1650}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99b868113524a0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AC565A-CD0F-A125-1140-E257223D1650}">
            <x14:dataBar gradient="1">
              <x14:cfvo type="min"/>
              <x14:cfvo type="max"/>
              <x14:fillColor rgb="FF156082"/>
            </x14:dataBar>
          </x14:cfRule>
          <xm:sqref>G5:G6</xm:sqref>
        </x14:conditionalFormatting>
      </x14:conditionalFormattings>
    </x:ext>
  </x:extLst>
</x:worksheet>
</file>

<file path=xl/worksheets/sheet1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30" hidden="0" customWidth="1"/>
    <x:col min="4" max="4" width="2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4" hidden="0" customWidth="1"/>
  </x:cols>
  <x:sheetData>
    <x:row r="1">
      <x:c r="A1" s="52" t="str">
        <x:v>Obra</x:v>
      </x:c>
      <x:c r="B1" s="52" t="str">
        <x:v>Data de referência</x:v>
      </x:c>
      <x:c r="C1" s="52" t="str">
        <x:v>Material / insumo</x:v>
      </x:c>
      <x:c r="D1" s="52" t="str">
        <x:v>Categoria</x:v>
      </x:c>
      <x:c r="E1" s="52" t="str">
        <x:v>Unidade</x:v>
      </x:c>
      <x:c r="F1" s="52" t="str">
        <x:v>Estoque atual</x:v>
      </x:c>
      <x:c r="G1" s="52" t="str">
        <x:v>Estoque mínimo</x:v>
      </x:c>
      <x:c r="H1" s="52" t="str">
        <x:v>Estoque máximo</x:v>
      </x:c>
      <x:c r="I1" s="52" t="str">
        <x:v>Estoque de segurança</x:v>
      </x:c>
      <x:c r="J1" s="52" t="str">
        <x:v>Consumo médio diário</x:v>
      </x:c>
      <x:c r="K1" s="52" t="str">
        <x:v>Prazo de reposição (dias)</x:v>
      </x:c>
      <x:c r="L1" s="52" t="str">
        <x:v>Ponto de pedido manual</x:v>
      </x:c>
      <x:c r="M1" s="52" t="str">
        <x:v>Estoque de antecipação</x:v>
      </x:c>
      <x:c r="N1" s="52" t="str">
        <x:v>Valor unitário</x:v>
      </x:c>
      <x:c r="O1" s="52" t="str">
        <x:v>Ponto de pedido efetivo</x:v>
      </x:c>
      <x:c r="P1" s="52" t="str">
        <x:v>Estoque médio</x:v>
      </x:c>
      <x:c r="Q1" s="52" t="str">
        <x:v>Valor em estoque</x:v>
      </x:c>
      <x:c r="R1" s="52" t="str">
        <x:v>Semáforo</x:v>
      </x:c>
    </x:row>
    <x:row r="2">
      <x:c r="A2" s="19" t="str">
        <x:v>Revitalização do Complexo Administrativo - Aracaju</x:v>
      </x:c>
      <x:c r="B2" s="38" t="n">
        <x:v>46278</x:v>
      </x:c>
      <x:c r="C2" s="19" t="str">
        <x:v>Cimento CP II 50 kg</x:v>
      </x:c>
      <x:c r="D2" s="19" t="str">
        <x:v>Cimento</x:v>
      </x:c>
      <x:c r="E2" s="19" t="str">
        <x:v>sc</x:v>
      </x:c>
      <x:c r="F2" s="19" t="n">
        <x:v>180</x:v>
      </x:c>
      <x:c r="G2" s="19" t="n">
        <x:v>120</x:v>
      </x:c>
      <x:c r="H2" s="19" t="n">
        <x:v>400</x:v>
      </x:c>
      <x:c r="I2" s="19" t="n">
        <x:v>60</x:v>
      </x:c>
      <x:c r="J2" s="19" t="n">
        <x:v>18</x:v>
      </x:c>
      <x:c r="K2" s="19" t="n">
        <x:v>5</x:v>
      </x:c>
      <x:c r="L2" s="19" t="n">
        <x:v>0</x:v>
      </x:c>
      <x:c r="M2" s="19" t="n">
        <x:v>0</x:v>
      </x:c>
      <x:c r="N2" s="36" t="n">
        <x:v>38.9</x:v>
      </x:c>
      <x:c r="O2" s="19" t="n">
        <x:f>IF(L2&gt;0,L2,J2*K2+I2)</x:f>
        <x:v>150</x:v>
      </x:c>
      <x:c r="P2" s="19" t="n">
        <x:f>(G2+H2)/2</x:f>
        <x:v>260</x:v>
      </x:c>
      <x:c r="Q2" s="36" t="n">
        <x:f>F2*N2</x:f>
        <x:v>7002</x:v>
      </x:c>
      <x:c r="R2" s="19" t="str">
        <x:f>IF(F2&gt;H2,"EXCESSO",IF(OR(F2&lt;=I2,F2&lt;G2),"CRÍTICO",IF(F2&lt;=O2,"COMPRAR","NORMAL")))</x:f>
        <x:v>NORMAL</x:v>
      </x:c>
    </x:row>
    <x:row r="3">
      <x:c r="A3" s="19" t="str">
        <x:v>Revitalização do Complexo Administrativo - Aracaju</x:v>
      </x:c>
      <x:c r="B3" s="38" t="n">
        <x:v>46278</x:v>
      </x:c>
      <x:c r="C3" s="19" t="str">
        <x:v>Tinta emborrachada 18 L</x:v>
      </x:c>
      <x:c r="D3" s="19" t="str">
        <x:v>Pintura</x:v>
      </x:c>
      <x:c r="E3" s="19" t="str">
        <x:v>lata</x:v>
      </x:c>
      <x:c r="F3" s="19" t="n">
        <x:v>42</x:v>
      </x:c>
      <x:c r="G3" s="19" t="n">
        <x:v>35</x:v>
      </x:c>
      <x:c r="H3" s="19" t="n">
        <x:v>90</x:v>
      </x:c>
      <x:c r="I3" s="19" t="n">
        <x:v>15</x:v>
      </x:c>
      <x:c r="J3" s="19" t="n">
        <x:v>4</x:v>
      </x:c>
      <x:c r="K3" s="19" t="n">
        <x:v>7</x:v>
      </x:c>
      <x:c r="L3" s="19" t="n">
        <x:v>0</x:v>
      </x:c>
      <x:c r="M3" s="19" t="n">
        <x:v>20</x:v>
      </x:c>
      <x:c r="N3" s="36" t="n">
        <x:v>485</x:v>
      </x:c>
      <x:c r="O3" s="19" t="n">
        <x:f>IF(L3&gt;0,L3,J3*K3+I3)</x:f>
        <x:v>43</x:v>
      </x:c>
      <x:c r="P3" s="19" t="n">
        <x:f>(G3+H3)/2</x:f>
        <x:v>62.5</x:v>
      </x:c>
      <x:c r="Q3" s="36" t="n">
        <x:f>F3*N3</x:f>
        <x:v>20370</x:v>
      </x:c>
      <x:c r="R3" s="19" t="str">
        <x:f>IF(F3&gt;H3,"EXCESSO",IF(OR(F3&lt;=I3,F3&lt;G3),"CRÍTICO",IF(F3&lt;=O3,"COMPRAR","NORMAL")))</x:f>
        <x:v>COMPRAR</x:v>
      </x:c>
    </x:row>
    <x:row r="4">
      <x:c r="A4" s="19" t="str">
        <x:v>Revitalização do Complexo Administrativo - Aracaju</x:v>
      </x:c>
      <x:c r="B4" s="38" t="n">
        <x:v>46278</x:v>
      </x:c>
      <x:c r="C4" s="19" t="str">
        <x:v>Selador acrílico 18 L</x:v>
      </x:c>
      <x:c r="D4" s="19" t="str">
        <x:v>Pintura</x:v>
      </x:c>
      <x:c r="E4" s="19" t="str">
        <x:v>lata</x:v>
      </x:c>
      <x:c r="F4" s="19" t="n">
        <x:v>18</x:v>
      </x:c>
      <x:c r="G4" s="19" t="n">
        <x:v>20</x:v>
      </x:c>
      <x:c r="H4" s="19" t="n">
        <x:v>60</x:v>
      </x:c>
      <x:c r="I4" s="19" t="n">
        <x:v>8</x:v>
      </x:c>
      <x:c r="J4" s="19" t="n">
        <x:v>2</x:v>
      </x:c>
      <x:c r="K4" s="19" t="n">
        <x:v>5</x:v>
      </x:c>
      <x:c r="L4" s="19" t="n">
        <x:v>0</x:v>
      </x:c>
      <x:c r="M4" s="19" t="n">
        <x:v>0</x:v>
      </x:c>
      <x:c r="N4" s="36" t="n">
        <x:v>190</x:v>
      </x:c>
      <x:c r="O4" s="19" t="n">
        <x:f>IF(L4&gt;0,L4,J4*K4+I4)</x:f>
        <x:v>18</x:v>
      </x:c>
      <x:c r="P4" s="19" t="n">
        <x:f>(G4+H4)/2</x:f>
        <x:v>40</x:v>
      </x:c>
      <x:c r="Q4" s="36" t="n">
        <x:f>F4*N4</x:f>
        <x:v>3420</x:v>
      </x:c>
      <x:c r="R4" s="19" t="str">
        <x:f>IF(F4&gt;H4,"EXCESSO",IF(OR(F4&lt;=I4,F4&lt;G4),"CRÍTICO",IF(F4&lt;=O4,"COMPRAR","NORMAL")))</x:f>
        <x:v>CRÍTICO</x:v>
      </x:c>
    </x:row>
    <x:row r="5">
      <x:c r="A5" s="19" t="str">
        <x:v>Revitalização do Complexo Administrativo - Aracaju</x:v>
      </x:c>
      <x:c r="B5" s="38" t="n">
        <x:v>46278</x:v>
      </x:c>
      <x:c r="C5" s="19" t="str">
        <x:v>Manta líquida 18 kg</x:v>
      </x:c>
      <x:c r="D5" s="19" t="str">
        <x:v>Impermeabilização</x:v>
      </x:c>
      <x:c r="E5" s="19" t="str">
        <x:v>balde</x:v>
      </x:c>
      <x:c r="F5" s="19" t="n">
        <x:v>25</x:v>
      </x:c>
      <x:c r="G5" s="19" t="n">
        <x:v>18</x:v>
      </x:c>
      <x:c r="H5" s="19" t="n">
        <x:v>55</x:v>
      </x:c>
      <x:c r="I5" s="19" t="n">
        <x:v>8</x:v>
      </x:c>
      <x:c r="J5" s="19" t="n">
        <x:v>2.5</x:v>
      </x:c>
      <x:c r="K5" s="19" t="n">
        <x:v>6</x:v>
      </x:c>
      <x:c r="L5" s="19" t="n">
        <x:v>0</x:v>
      </x:c>
      <x:c r="M5" s="19" t="n">
        <x:v>10</x:v>
      </x:c>
      <x:c r="N5" s="36" t="n">
        <x:v>410</x:v>
      </x:c>
      <x:c r="O5" s="19" t="n">
        <x:f>IF(L5&gt;0,L5,J5*K5+I5)</x:f>
        <x:v>23</x:v>
      </x:c>
      <x:c r="P5" s="19" t="n">
        <x:f>(G5+H5)/2</x:f>
        <x:v>36.5</x:v>
      </x:c>
      <x:c r="Q5" s="36" t="n">
        <x:f>F5*N5</x:f>
        <x:v>10250</x:v>
      </x:c>
      <x:c r="R5" s="19" t="str">
        <x:f>IF(F5&gt;H5,"EXCESSO",IF(OR(F5&lt;=I5,F5&lt;G5),"CRÍTICO",IF(F5&lt;=O5,"COMPRAR","NORMAL")))</x:f>
        <x:v>NORMAL</x:v>
      </x:c>
    </x:row>
    <x:row r="6">
      <x:c r="A6" s="19" t="str">
        <x:v>Revitalização do Complexo Administrativo - Aracaju</x:v>
      </x:c>
      <x:c r="B6" s="38" t="n">
        <x:v>46278</x:v>
      </x:c>
      <x:c r="C6" s="19" t="str">
        <x:v>Telha fibrocimento 8 mm</x:v>
      </x:c>
      <x:c r="D6" s="19" t="str">
        <x:v>Cobertura</x:v>
      </x:c>
      <x:c r="E6" s="19" t="str">
        <x:v>un</x:v>
      </x:c>
      <x:c r="F6" s="19" t="n">
        <x:v>95</x:v>
      </x:c>
      <x:c r="G6" s="19" t="n">
        <x:v>40</x:v>
      </x:c>
      <x:c r="H6" s="19" t="n">
        <x:v>80</x:v>
      </x:c>
      <x:c r="I6" s="19" t="n">
        <x:v>20</x:v>
      </x:c>
      <x:c r="J6" s="19" t="n">
        <x:v>3</x:v>
      </x:c>
      <x:c r="K6" s="19" t="n">
        <x:v>10</x:v>
      </x:c>
      <x:c r="L6" s="19" t="n">
        <x:v>0</x:v>
      </x:c>
      <x:c r="M6" s="19" t="n">
        <x:v>30</x:v>
      </x:c>
      <x:c r="N6" s="36" t="n">
        <x:v>115</x:v>
      </x:c>
      <x:c r="O6" s="19" t="n">
        <x:f>IF(L6&gt;0,L6,J6*K6+I6)</x:f>
        <x:v>50</x:v>
      </x:c>
      <x:c r="P6" s="19" t="n">
        <x:f>(G6+H6)/2</x:f>
        <x:v>60</x:v>
      </x:c>
      <x:c r="Q6" s="36" t="n">
        <x:f>F6*N6</x:f>
        <x:v>10925</x:v>
      </x:c>
      <x:c r="R6" s="19" t="str">
        <x:f>IF(F6&gt;H6,"EXCESSO",IF(OR(F6&lt;=I6,F6&lt;G6),"CRÍTICO",IF(F6&lt;=O6,"COMPRAR","NORMAL")))</x:f>
        <x:v>EXCESSO</x:v>
      </x:c>
    </x:row>
    <x:row r="7">
      <x:c r="A7" s="19" t="str">
        <x:v>Pavimentação Rodoviária SE-100 - Trecho Demonstrativo</x:v>
      </x:c>
      <x:c r="B7" s="38" t="n">
        <x:v>46278</x:v>
      </x:c>
      <x:c r="C7" s="19" t="str">
        <x:v>Brita graduada simples</x:v>
      </x:c>
      <x:c r="D7" s="19" t="str">
        <x:v>Pavimentação</x:v>
      </x:c>
      <x:c r="E7" s="19" t="str">
        <x:v>m³</x:v>
      </x:c>
      <x:c r="F7" s="19" t="n">
        <x:v>680</x:v>
      </x:c>
      <x:c r="G7" s="19" t="n">
        <x:v>500</x:v>
      </x:c>
      <x:c r="H7" s="19" t="n">
        <x:v>1800</x:v>
      </x:c>
      <x:c r="I7" s="19" t="n">
        <x:v>250</x:v>
      </x:c>
      <x:c r="J7" s="19" t="n">
        <x:v>85</x:v>
      </x:c>
      <x:c r="K7" s="19" t="n">
        <x:v>4</x:v>
      </x:c>
      <x:c r="L7" s="19" t="n">
        <x:v>0</x:v>
      </x:c>
      <x:c r="M7" s="19" t="n">
        <x:v>0</x:v>
      </x:c>
      <x:c r="N7" s="36" t="n">
        <x:v>165</x:v>
      </x:c>
      <x:c r="O7" s="19" t="n">
        <x:f>IF(L7&gt;0,L7,J7*K7+I7)</x:f>
        <x:v>590</x:v>
      </x:c>
      <x:c r="P7" s="19" t="n">
        <x:f>(G7+H7)/2</x:f>
        <x:v>1150</x:v>
      </x:c>
      <x:c r="Q7" s="36" t="n">
        <x:f>F7*N7</x:f>
        <x:v>112200</x:v>
      </x:c>
      <x:c r="R7" s="19" t="str">
        <x:f>IF(F7&gt;H7,"EXCESSO",IF(OR(F7&lt;=I7,F7&lt;G7),"CRÍTICO",IF(F7&lt;=O7,"COMPRAR","NORMAL")))</x:f>
        <x:v>NORMAL</x:v>
      </x:c>
    </x:row>
    <x:row r="8">
      <x:c r="A8" s="19" t="str">
        <x:v>Pavimentação Rodoviária SE-100 - Trecho Demonstrativo</x:v>
      </x:c>
      <x:c r="B8" s="38" t="n">
        <x:v>46278</x:v>
      </x:c>
      <x:c r="C8" s="19" t="str">
        <x:v>CAP 50/70</x:v>
      </x:c>
      <x:c r="D8" s="19" t="str">
        <x:v>Ligante asfáltico</x:v>
      </x:c>
      <x:c r="E8" s="19" t="str">
        <x:v>t</x:v>
      </x:c>
      <x:c r="F8" s="19" t="n">
        <x:v>48</x:v>
      </x:c>
      <x:c r="G8" s="19" t="n">
        <x:v>45</x:v>
      </x:c>
      <x:c r="H8" s="19" t="n">
        <x:v>140</x:v>
      </x:c>
      <x:c r="I8" s="19" t="n">
        <x:v>20</x:v>
      </x:c>
      <x:c r="J8" s="19" t="n">
        <x:v>7</x:v>
      </x:c>
      <x:c r="K8" s="19" t="n">
        <x:v>5</x:v>
      </x:c>
      <x:c r="L8" s="19" t="n">
        <x:v>0</x:v>
      </x:c>
      <x:c r="M8" s="19" t="n">
        <x:v>0</x:v>
      </x:c>
      <x:c r="N8" s="36" t="n">
        <x:v>4680</x:v>
      </x:c>
      <x:c r="O8" s="19" t="n">
        <x:f>IF(L8&gt;0,L8,J8*K8+I8)</x:f>
        <x:v>55</x:v>
      </x:c>
      <x:c r="P8" s="19" t="n">
        <x:f>(G8+H8)/2</x:f>
        <x:v>92.5</x:v>
      </x:c>
      <x:c r="Q8" s="36" t="n">
        <x:f>F8*N8</x:f>
        <x:v>224640</x:v>
      </x:c>
      <x:c r="R8" s="19" t="str">
        <x:f>IF(F8&gt;H8,"EXCESSO",IF(OR(F8&lt;=I8,F8&lt;G8),"CRÍTICO",IF(F8&lt;=O8,"COMPRAR","NORMAL")))</x:f>
        <x:v>COMPRAR</x:v>
      </x:c>
    </x:row>
    <x:row r="9">
      <x:c r="A9" s="19" t="str">
        <x:v>Pavimentação Rodoviária SE-100 - Trecho Demonstrativo</x:v>
      </x:c>
      <x:c r="B9" s="38" t="n">
        <x:v>46278</x:v>
      </x:c>
      <x:c r="C9" s="19" t="str">
        <x:v>Emulsão RR-1C</x:v>
      </x:c>
      <x:c r="D9" s="19" t="str">
        <x:v>Ligante asfáltico</x:v>
      </x:c>
      <x:c r="E9" s="19" t="str">
        <x:v>t</x:v>
      </x:c>
      <x:c r="F9" s="19" t="n">
        <x:v>16</x:v>
      </x:c>
      <x:c r="G9" s="19" t="n">
        <x:v>18</x:v>
      </x:c>
      <x:c r="H9" s="19" t="n">
        <x:v>55</x:v>
      </x:c>
      <x:c r="I9" s="19" t="n">
        <x:v>8</x:v>
      </x:c>
      <x:c r="J9" s="19" t="n">
        <x:v>2.2</x:v>
      </x:c>
      <x:c r="K9" s="19" t="n">
        <x:v>5</x:v>
      </x:c>
      <x:c r="L9" s="19" t="n">
        <x:v>0</x:v>
      </x:c>
      <x:c r="M9" s="19" t="n">
        <x:v>0</x:v>
      </x:c>
      <x:c r="N9" s="36" t="n">
        <x:v>4150</x:v>
      </x:c>
      <x:c r="O9" s="19" t="n">
        <x:f>IF(L9&gt;0,L9,J9*K9+I9)</x:f>
        <x:v>19</x:v>
      </x:c>
      <x:c r="P9" s="19" t="n">
        <x:f>(G9+H9)/2</x:f>
        <x:v>36.5</x:v>
      </x:c>
      <x:c r="Q9" s="36" t="n">
        <x:f>F9*N9</x:f>
        <x:v>66400</x:v>
      </x:c>
      <x:c r="R9" s="19" t="str">
        <x:f>IF(F9&gt;H9,"EXCESSO",IF(OR(F9&lt;=I9,F9&lt;G9),"CRÍTICO",IF(F9&lt;=O9,"COMPRAR","NORMAL")))</x:f>
        <x:v>CRÍTICO</x:v>
      </x:c>
    </x:row>
    <x:row r="10">
      <x:c r="A10" s="19" t="str">
        <x:v>Pavimentação Rodoviária SE-100 - Trecho Demonstrativo</x:v>
      </x:c>
      <x:c r="B10" s="38" t="n">
        <x:v>46278</x:v>
      </x:c>
      <x:c r="C10" s="19" t="str">
        <x:v>Diesel S10</x:v>
      </x:c>
      <x:c r="D10" s="19" t="str">
        <x:v>Combustível</x:v>
      </x:c>
      <x:c r="E10" s="19" t="str">
        <x:v>L</x:v>
      </x:c>
      <x:c r="F10" s="19" t="n">
        <x:v>8500</x:v>
      </x:c>
      <x:c r="G10" s="19" t="n">
        <x:v>6000</x:v>
      </x:c>
      <x:c r="H10" s="19" t="n">
        <x:v>20000</x:v>
      </x:c>
      <x:c r="I10" s="19" t="n">
        <x:v>3000</x:v>
      </x:c>
      <x:c r="J10" s="19" t="n">
        <x:v>1500</x:v>
      </x:c>
      <x:c r="K10" s="19" t="n">
        <x:v>3</x:v>
      </x:c>
      <x:c r="L10" s="19" t="n">
        <x:v>0</x:v>
      </x:c>
      <x:c r="M10" s="19" t="n">
        <x:v>5000</x:v>
      </x:c>
      <x:c r="N10" s="36" t="n">
        <x:v>6.45</x:v>
      </x:c>
      <x:c r="O10" s="19" t="n">
        <x:f>IF(L10&gt;0,L10,J10*K10+I10)</x:f>
        <x:v>7500</x:v>
      </x:c>
      <x:c r="P10" s="19" t="n">
        <x:f>(G10+H10)/2</x:f>
        <x:v>13000</x:v>
      </x:c>
      <x:c r="Q10" s="36" t="n">
        <x:f>F10*N10</x:f>
        <x:v>54825</x:v>
      </x:c>
      <x:c r="R10" s="19" t="str">
        <x:f>IF(F10&gt;H10,"EXCESSO",IF(OR(F10&lt;=I10,F10&lt;G10),"CRÍTICO",IF(F10&lt;=O10,"COMPRAR","NORMAL")))</x:f>
        <x:v>NORMAL</x:v>
      </x:c>
    </x:row>
    <x:row r="11">
      <x:c r="A11" s="19" t="str">
        <x:v>Pavimentação Rodoviária SE-100 - Trecho Demonstrativo</x:v>
      </x:c>
      <x:c r="B11" s="38" t="n">
        <x:v>46278</x:v>
      </x:c>
      <x:c r="C11" s="19" t="str">
        <x:v>Cimento Portland</x:v>
      </x:c>
      <x:c r="D11" s="19" t="str">
        <x:v>Obras de arte</x:v>
      </x:c>
      <x:c r="E11" s="19" t="str">
        <x:v>sc</x:v>
      </x:c>
      <x:c r="F11" s="19" t="n">
        <x:v>520</x:v>
      </x:c>
      <x:c r="G11" s="19" t="n">
        <x:v>250</x:v>
      </x:c>
      <x:c r="H11" s="19" t="n">
        <x:v>700</x:v>
      </x:c>
      <x:c r="I11" s="19" t="n">
        <x:v>120</x:v>
      </x:c>
      <x:c r="J11" s="19" t="n">
        <x:v>35</x:v>
      </x:c>
      <x:c r="K11" s="19" t="n">
        <x:v>5</x:v>
      </x:c>
      <x:c r="L11" s="19" t="n">
        <x:v>0</x:v>
      </x:c>
      <x:c r="M11" s="19" t="n">
        <x:v>0</x:v>
      </x:c>
      <x:c r="N11" s="36" t="n">
        <x:v>39.5</x:v>
      </x:c>
      <x:c r="O11" s="19" t="n">
        <x:f>IF(L11&gt;0,L11,J11*K11+I11)</x:f>
        <x:v>295</x:v>
      </x:c>
      <x:c r="P11" s="19" t="n">
        <x:f>(G11+H11)/2</x:f>
        <x:v>475</x:v>
      </x:c>
      <x:c r="Q11" s="36" t="n">
        <x:f>F11*N11</x:f>
        <x:v>20540</x:v>
      </x:c>
      <x:c r="R11" s="19" t="str">
        <x:f>IF(F11&gt;H11,"EXCESSO",IF(OR(F11&lt;=I11,F11&lt;G11),"CRÍTICO",IF(F11&lt;=O11,"COMPRAR","NORMAL")))</x:f>
        <x:v>NORMAL</x:v>
      </x:c>
    </x:row>
  </x:sheetData>
  <x:conditionalFormatting sqref="R2:R11">
    <x:cfRule type="expression" dxfId="0" priority="1">
      <x:formula>R2="CRÍTICO"</x:formula>
    </x:cfRule>
    <x:cfRule type="expression" dxfId="1" priority="2">
      <x:formula>R2="COMPRAR"</x:formula>
    </x:cfRule>
    <x:cfRule type="expression" dxfId="2" priority="3">
      <x:formula>R2="NORMAL"</x:formula>
    </x:cfRule>
    <x:cfRule type="expression" dxfId="3" priority="4">
      <x:formula>R2="EXCESSO"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8bea93e1bd454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7" hidden="0" customWidth="1"/>
    <x:col min="4" max="4" width="11" hidden="0" customWidth="1"/>
    <x:col min="5" max="5" width="10" hidden="0" customWidth="1"/>
    <x:col min="6" max="6" width="34" hidden="0" customWidth="1"/>
    <x:col min="7" max="7" width="48" hidden="0" customWidth="1"/>
    <x:col min="8" max="8" width="12" hidden="0" customWidth="1"/>
    <x:col min="9" max="9" width="14" hidden="0" customWidth="1"/>
    <x:col min="10" max="10" width="20" hidden="0" customWidth="1"/>
    <x:col min="11" max="11" width="42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2" hidden="0" customWidth="1"/>
    <x:col min="17" max="17" width="12" hidden="0" customWidth="1"/>
    <x:col min="18" max="18" width="10" hidden="0" customWidth="1"/>
    <x:col min="19" max="19" width="18" hidden="0" customWidth="1"/>
    <x:col min="20" max="20" width="12" hidden="0" customWidth="1"/>
    <x:col min="21" max="21" width="16" hidden="0" customWidth="1"/>
    <x:col min="22" max="22" width="16" hidden="0" customWidth="1"/>
    <x:col min="23" max="23" width="10" hidden="0" customWidth="1"/>
    <x:col min="24" max="24" width="18" hidden="0" customWidth="1"/>
    <x:col min="25" max="25" width="15" hidden="0" customWidth="1"/>
  </x:cols>
  <x:sheetData>
    <x:row r="1">
      <x:c r="A1" s="62" t="str">
        <x:v>OBRATOP — EAP / ESTRUTURA ANALÍTICA DO PROJETO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</x:row>
    <x:row r="2">
      <x:c r="A2" s="67" t="str">
        <x:v>Modelo orientador: planilha EAP fornecida pelo usuário; estrutura adaptada às peculiaridades de cada obra e integrada ao cronograma Gantt V3.12.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</x:row>
    <x:row r="4">
      <x:c r="A4" s="72" t="str">
        <x:v>Obra</x:v>
      </x:c>
      <x:c r="B4" s="72" t="str">
        <x:v>EAP / WBS</x:v>
      </x:c>
      <x:c r="C4" s="72" t="str">
        <x:v>Nível</x:v>
      </x:c>
      <x:c r="D4" s="72" t="str">
        <x:v>Tipo</x:v>
      </x:c>
      <x:c r="E4" s="72" t="str">
        <x:v>EAP Pai</x:v>
      </x:c>
      <x:c r="F4" s="72" t="str">
        <x:v>Atividade</x:v>
      </x:c>
      <x:c r="G4" s="72" t="str">
        <x:v>Descrição / Escopo</x:v>
      </x:c>
      <x:c r="H4" s="72" t="str">
        <x:v>Unidade EAP</x:v>
      </x:c>
      <x:c r="I4" s="72" t="str">
        <x:v>Quantidade EAP</x:v>
      </x:c>
      <x:c r="J4" s="72" t="str">
        <x:v>Responsável</x:v>
      </x:c>
      <x:c r="K4" s="72" t="str">
        <x:v>Critérios de aceitação</x:v>
      </x:c>
      <x:c r="L4" s="72" t="str">
        <x:v>PU Material</x:v>
      </x:c>
      <x:c r="M4" s="72" t="str">
        <x:v>PU Mão de obra</x:v>
      </x:c>
      <x:c r="N4" s="72" t="str">
        <x:v>PU Equipamentos</x:v>
      </x:c>
      <x:c r="O4" s="72" t="str">
        <x:v>Custo Direto Estimado</x:v>
      </x:c>
      <x:c r="P4" s="72" t="str">
        <x:v>Início</x:v>
      </x:c>
      <x:c r="Q4" s="72" t="str">
        <x:v>Fim</x:v>
      </x:c>
      <x:c r="R4" s="72" t="str">
        <x:v>Dias úteis</x:v>
      </x:c>
      <x:c r="S4" s="72" t="str">
        <x:v>Controle de avanço</x:v>
      </x:c>
      <x:c r="T4" s="72" t="str">
        <x:v>Progresso (%)</x:v>
      </x:c>
      <x:c r="U4" s="72" t="str">
        <x:v>Quantidade planejada</x:v>
      </x:c>
      <x:c r="V4" s="72" t="str">
        <x:v>Quantidade executada</x:v>
      </x:c>
      <x:c r="W4" s="72" t="str">
        <x:v>Unidade</x:v>
      </x:c>
      <x:c r="X4" s="72" t="str">
        <x:v>Predecessoras</x:v>
      </x:c>
      <x:c r="Y4" s="72" t="str">
        <x:v>Status</x:v>
      </x:c>
    </x:row>
    <x:row r="5">
      <x:c r="A5" s="74" t="str">
        <x:v>Revitalização do Complexo Administrativo - Aracaju</x:v>
      </x:c>
      <x:c r="B5" s="74" t="str">
        <x:v>1</x:v>
      </x:c>
      <x:c r="C5" s="74" t="n">
        <x:v>1</x:v>
      </x:c>
      <x:c r="D5" s="74" t="str">
        <x:v>Resumo</x:v>
      </x:c>
      <x:c r="E5" s="74" t="str"/>
      <x:c r="F5" s="74" t="str">
        <x:v>Revitalização do Complexo Administrativo - Aracaju</x:v>
      </x:c>
      <x:c r="G5" s="75" t="str">
        <x:v>Estrutura Analítica do Projeto da revitalização predial.</x:v>
      </x:c>
      <x:c r="H5" s="74" t="str"/>
      <x:c r="I5" s="74" t="str"/>
      <x:c r="J5" s="74" t="str"/>
      <x:c r="K5" s="75" t="str"/>
      <x:c r="L5" s="77" t="str"/>
      <x:c r="M5" s="77" t="str"/>
      <x:c r="N5" s="77" t="str"/>
      <x:c r="O5" s="77" t="str">
        <x:f>IF(OR(I5="",AND(L5="",M5="",N5="")),"",I5*(N(L5)+N(M5)+N(N5)))</x:f>
      </x:c>
      <x:c r="P5" s="76" t="str"/>
      <x:c r="Q5" s="76" t="str"/>
      <x:c r="R5" s="74" t="str"/>
      <x:c r="S5" s="74" t="str"/>
      <x:c r="T5" s="78" t="str"/>
      <x:c r="U5" s="74" t="str"/>
      <x:c r="V5" s="74" t="str"/>
      <x:c r="W5" s="74" t="str"/>
      <x:c r="X5" s="74" t="str"/>
      <x:c r="Y5" s="74" t="str"/>
    </x:row>
    <x:row r="6">
      <x:c r="A6" s="74" t="str">
        <x:v>Revitalização do Complexo Administrativo - Aracaju</x:v>
      </x:c>
      <x:c r="B6" s="74" t="str">
        <x:v>1.1</x:v>
      </x:c>
      <x:c r="C6" s="74" t="n">
        <x:v>2</x:v>
      </x:c>
      <x:c r="D6" s="74" t="str">
        <x:v>Resumo</x:v>
      </x:c>
      <x:c r="E6" s="74" t="str">
        <x:v>1</x:v>
      </x:c>
      <x:c r="F6" s="74" t="str">
        <x:v>Gestão, projetos e planejamento</x:v>
      </x:c>
      <x:c r="G6" s="75" t="str">
        <x:v>Planejamento executivo, levantamentos, projetos e compatibilização.</x:v>
      </x:c>
      <x:c r="H6" s="74" t="str"/>
      <x:c r="I6" s="74" t="str"/>
      <x:c r="J6" s="74" t="str"/>
      <x:c r="K6" s="75" t="str"/>
      <x:c r="L6" s="77" t="str"/>
      <x:c r="M6" s="77" t="str"/>
      <x:c r="N6" s="77" t="str"/>
      <x:c r="O6" s="77" t="str">
        <x:f>IF(OR(I6="",AND(L6="",M6="",N6="")),"",I6*(N(L6)+N(M6)+N(N6)))</x:f>
      </x:c>
      <x:c r="P6" s="76" t="str"/>
      <x:c r="Q6" s="76" t="str"/>
      <x:c r="R6" s="74" t="str"/>
      <x:c r="S6" s="74" t="str"/>
      <x:c r="T6" s="78" t="str"/>
      <x:c r="U6" s="74" t="str"/>
      <x:c r="V6" s="74" t="str"/>
      <x:c r="W6" s="74" t="str"/>
      <x:c r="X6" s="74" t="str"/>
      <x:c r="Y6" s="74" t="str"/>
    </x:row>
    <x:row r="7">
      <x:c r="A7" s="74" t="str">
        <x:v>Revitalização do Complexo Administrativo - Aracaju</x:v>
      </x:c>
      <x:c r="B7" s="74" t="str">
        <x:v>1.2</x:v>
      </x:c>
      <x:c r="C7" s="74" t="n">
        <x:v>2</x:v>
      </x:c>
      <x:c r="D7" s="74" t="str">
        <x:v>Resumo</x:v>
      </x:c>
      <x:c r="E7" s="74" t="str">
        <x:v>1</x:v>
      </x:c>
      <x:c r="F7" s="74" t="str">
        <x:v>Serviços preliminares</x:v>
      </x:c>
      <x:c r="G7" s="75" t="str">
        <x:v>Mobilização, canteiro, proteções, demolições e remoções.</x:v>
      </x:c>
      <x:c r="H7" s="74" t="str"/>
      <x:c r="I7" s="74" t="str"/>
      <x:c r="J7" s="74" t="str"/>
      <x:c r="K7" s="75" t="str"/>
      <x:c r="L7" s="77" t="str"/>
      <x:c r="M7" s="77" t="str"/>
      <x:c r="N7" s="77" t="str"/>
      <x:c r="O7" s="77" t="str">
        <x:f>IF(OR(I7="",AND(L7="",M7="",N7="")),"",I7*(N(L7)+N(M7)+N(N7)))</x:f>
      </x:c>
      <x:c r="P7" s="76" t="str"/>
      <x:c r="Q7" s="76" t="str"/>
      <x:c r="R7" s="74" t="str"/>
      <x:c r="S7" s="74" t="str"/>
      <x:c r="T7" s="78" t="str"/>
      <x:c r="U7" s="74" t="str"/>
      <x:c r="V7" s="74" t="str"/>
      <x:c r="W7" s="74" t="str"/>
      <x:c r="X7" s="74" t="str"/>
      <x:c r="Y7" s="74" t="str"/>
    </x:row>
    <x:row r="8">
      <x:c r="A8" s="74" t="str">
        <x:v>Revitalização do Complexo Administrativo - Aracaju</x:v>
      </x:c>
      <x:c r="B8" s="74" t="str">
        <x:v>1.3</x:v>
      </x:c>
      <x:c r="C8" s="74" t="n">
        <x:v>2</x:v>
      </x:c>
      <x:c r="D8" s="74" t="str">
        <x:v>Resumo</x:v>
      </x:c>
      <x:c r="E8" s="74" t="str">
        <x:v>1</x:v>
      </x:c>
      <x:c r="F8" s="74" t="str">
        <x:v>Estrutura e recuperação</x:v>
      </x:c>
      <x:c r="G8" s="75" t="str">
        <x:v>Diagnóstico, reparos e reforços estruturais.</x:v>
      </x:c>
      <x:c r="H8" s="74" t="str"/>
      <x:c r="I8" s="74" t="str"/>
      <x:c r="J8" s="74" t="str"/>
      <x:c r="K8" s="75" t="str"/>
      <x:c r="L8" s="77" t="str"/>
      <x:c r="M8" s="77" t="str"/>
      <x:c r="N8" s="77" t="str"/>
      <x:c r="O8" s="77" t="str">
        <x:f>IF(OR(I8="",AND(L8="",M8="",N8="")),"",I8*(N(L8)+N(M8)+N(N8)))</x:f>
      </x:c>
      <x:c r="P8" s="76" t="str"/>
      <x:c r="Q8" s="76" t="str"/>
      <x:c r="R8" s="74" t="str"/>
      <x:c r="S8" s="74" t="str"/>
      <x:c r="T8" s="78" t="str"/>
      <x:c r="U8" s="74" t="str"/>
      <x:c r="V8" s="74" t="str"/>
      <x:c r="W8" s="74" t="str"/>
      <x:c r="X8" s="74" t="str"/>
      <x:c r="Y8" s="74" t="str"/>
    </x:row>
    <x:row r="9">
      <x:c r="A9" s="74" t="str">
        <x:v>Revitalização do Complexo Administrativo - Aracaju</x:v>
      </x:c>
      <x:c r="B9" s="74" t="str">
        <x:v>1.4</x:v>
      </x:c>
      <x:c r="C9" s="74" t="n">
        <x:v>2</x:v>
      </x:c>
      <x:c r="D9" s="74" t="str">
        <x:v>Resumo</x:v>
      </x:c>
      <x:c r="E9" s="74" t="str">
        <x:v>1</x:v>
      </x:c>
      <x:c r="F9" s="74" t="str">
        <x:v>Cobertura e impermeabilização</x:v>
      </x:c>
      <x:c r="G9" s="75" t="str">
        <x:v>Revisão de cobertura, calhas, rufos e sistemas de impermeabilização.</x:v>
      </x:c>
      <x:c r="H9" s="74" t="str"/>
      <x:c r="I9" s="74" t="str"/>
      <x:c r="J9" s="74" t="str"/>
      <x:c r="K9" s="75" t="str"/>
      <x:c r="L9" s="77" t="str"/>
      <x:c r="M9" s="77" t="str"/>
      <x:c r="N9" s="77" t="str"/>
      <x:c r="O9" s="77" t="str">
        <x:f>IF(OR(I9="",AND(L9="",M9="",N9="")),"",I9*(N(L9)+N(M9)+N(N9)))</x:f>
      </x:c>
      <x:c r="P9" s="76" t="str"/>
      <x:c r="Q9" s="76" t="str"/>
      <x:c r="R9" s="74" t="str"/>
      <x:c r="S9" s="74" t="str"/>
      <x:c r="T9" s="78" t="str"/>
      <x:c r="U9" s="74" t="str"/>
      <x:c r="V9" s="74" t="str"/>
      <x:c r="W9" s="74" t="str"/>
      <x:c r="X9" s="74" t="str"/>
      <x:c r="Y9" s="74" t="str"/>
    </x:row>
    <x:row r="10">
      <x:c r="A10" s="74" t="str">
        <x:v>Revitalização do Complexo Administrativo - Aracaju</x:v>
      </x:c>
      <x:c r="B10" s="74" t="str">
        <x:v>1.5</x:v>
      </x:c>
      <x:c r="C10" s="74" t="n">
        <x:v>2</x:v>
      </x:c>
      <x:c r="D10" s="74" t="str">
        <x:v>Resumo</x:v>
      </x:c>
      <x:c r="E10" s="74" t="str">
        <x:v>1</x:v>
      </x:c>
      <x:c r="F10" s="74" t="str">
        <x:v>Instalações elétricas</x:v>
      </x:c>
      <x:c r="G10" s="75" t="str">
        <x:v>Quadros, distribuição, iluminação, aterramento e adequações.</x:v>
      </x:c>
      <x:c r="H10" s="74" t="str"/>
      <x:c r="I10" s="74" t="str"/>
      <x:c r="J10" s="74" t="str"/>
      <x:c r="K10" s="75" t="str"/>
      <x:c r="L10" s="77" t="str"/>
      <x:c r="M10" s="77" t="str"/>
      <x:c r="N10" s="77" t="str"/>
      <x:c r="O10" s="77" t="str">
        <x:f>IF(OR(I10="",AND(L10="",M10="",N10="")),"",I10*(N(L10)+N(M10)+N(N10)))</x:f>
      </x:c>
      <x:c r="P10" s="76" t="str"/>
      <x:c r="Q10" s="76" t="str"/>
      <x:c r="R10" s="74" t="str"/>
      <x:c r="S10" s="74" t="str"/>
      <x:c r="T10" s="78" t="str"/>
      <x:c r="U10" s="74" t="str"/>
      <x:c r="V10" s="74" t="str"/>
      <x:c r="W10" s="74" t="str"/>
      <x:c r="X10" s="74" t="str"/>
      <x:c r="Y10" s="74" t="str"/>
    </x:row>
    <x:row r="11">
      <x:c r="A11" s="74" t="str">
        <x:v>Revitalização do Complexo Administrativo - Aracaju</x:v>
      </x:c>
      <x:c r="B11" s="74" t="str">
        <x:v>1.6</x:v>
      </x:c>
      <x:c r="C11" s="74" t="n">
        <x:v>2</x:v>
      </x:c>
      <x:c r="D11" s="74" t="str">
        <x:v>Resumo</x:v>
      </x:c>
      <x:c r="E11" s="74" t="str">
        <x:v>1</x:v>
      </x:c>
      <x:c r="F11" s="74" t="str">
        <x:v>Instalações hidrossanitárias</x:v>
      </x:c>
      <x:c r="G11" s="75" t="str">
        <x:v>Água, esgoto, aparelhos e testes.</x:v>
      </x:c>
      <x:c r="H11" s="74" t="str"/>
      <x:c r="I11" s="74" t="str"/>
      <x:c r="J11" s="74" t="str"/>
      <x:c r="K11" s="75" t="str"/>
      <x:c r="L11" s="77" t="str"/>
      <x:c r="M11" s="77" t="str"/>
      <x:c r="N11" s="77" t="str"/>
      <x:c r="O11" s="77" t="str">
        <x:f>IF(OR(I11="",AND(L11="",M11="",N11="")),"",I11*(N(L11)+N(M11)+N(N11)))</x:f>
      </x:c>
      <x:c r="P11" s="76" t="str"/>
      <x:c r="Q11" s="76" t="str"/>
      <x:c r="R11" s="74" t="str"/>
      <x:c r="S11" s="74" t="str"/>
      <x:c r="T11" s="78" t="str"/>
      <x:c r="U11" s="74" t="str"/>
      <x:c r="V11" s="74" t="str"/>
      <x:c r="W11" s="74" t="str"/>
      <x:c r="X11" s="74" t="str"/>
      <x:c r="Y11" s="74" t="str"/>
    </x:row>
    <x:row r="12">
      <x:c r="A12" s="74" t="str">
        <x:v>Revitalização do Complexo Administrativo - Aracaju</x:v>
      </x:c>
      <x:c r="B12" s="74" t="str">
        <x:v>1.7</x:v>
      </x:c>
      <x:c r="C12" s="74" t="n">
        <x:v>2</x:v>
      </x:c>
      <x:c r="D12" s="74" t="str">
        <x:v>Resumo</x:v>
      </x:c>
      <x:c r="E12" s="74" t="str">
        <x:v>1</x:v>
      </x:c>
      <x:c r="F12" s="74" t="str">
        <x:v>Arquitetura e acabamentos</x:v>
      </x:c>
      <x:c r="G12" s="75" t="str">
        <x:v>Alvenarias, revestimentos, pisos, forros, esquadrias e pintura.</x:v>
      </x:c>
      <x:c r="H12" s="74" t="str"/>
      <x:c r="I12" s="74" t="str"/>
      <x:c r="J12" s="74" t="str"/>
      <x:c r="K12" s="75" t="str"/>
      <x:c r="L12" s="77" t="str"/>
      <x:c r="M12" s="77" t="str"/>
      <x:c r="N12" s="77" t="str"/>
      <x:c r="O12" s="77" t="str">
        <x:f>IF(OR(I12="",AND(L12="",M12="",N12="")),"",I12*(N(L12)+N(M12)+N(N12)))</x:f>
      </x:c>
      <x:c r="P12" s="76" t="str"/>
      <x:c r="Q12" s="76" t="str"/>
      <x:c r="R12" s="74" t="str"/>
      <x:c r="S12" s="74" t="str"/>
      <x:c r="T12" s="78" t="str"/>
      <x:c r="U12" s="74" t="str"/>
      <x:c r="V12" s="74" t="str"/>
      <x:c r="W12" s="74" t="str"/>
      <x:c r="X12" s="74" t="str"/>
      <x:c r="Y12" s="74" t="str"/>
    </x:row>
    <x:row r="13">
      <x:c r="A13" s="74" t="str">
        <x:v>Revitalização do Complexo Administrativo - Aracaju</x:v>
      </x:c>
      <x:c r="B13" s="74" t="str">
        <x:v>1.8</x:v>
      </x:c>
      <x:c r="C13" s="74" t="n">
        <x:v>2</x:v>
      </x:c>
      <x:c r="D13" s="74" t="str">
        <x:v>Resumo</x:v>
      </x:c>
      <x:c r="E13" s="74" t="str">
        <x:v>1</x:v>
      </x:c>
      <x:c r="F13" s="74" t="str">
        <x:v>Climatização e utilidades</x:v>
      </x:c>
      <x:c r="G13" s="75" t="str">
        <x:v>Adequações de climatização e utilidades prediais.</x:v>
      </x:c>
      <x:c r="H13" s="74" t="str"/>
      <x:c r="I13" s="74" t="str"/>
      <x:c r="J13" s="74" t="str"/>
      <x:c r="K13" s="75" t="str"/>
      <x:c r="L13" s="77" t="str"/>
      <x:c r="M13" s="77" t="str"/>
      <x:c r="N13" s="77" t="str"/>
      <x:c r="O13" s="77" t="str">
        <x:f>IF(OR(I13="",AND(L13="",M13="",N13="")),"",I13*(N(L13)+N(M13)+N(N13)))</x:f>
      </x:c>
      <x:c r="P13" s="76" t="str"/>
      <x:c r="Q13" s="76" t="str"/>
      <x:c r="R13" s="74" t="str"/>
      <x:c r="S13" s="74" t="str"/>
      <x:c r="T13" s="78" t="str"/>
      <x:c r="U13" s="74" t="str"/>
      <x:c r="V13" s="74" t="str"/>
      <x:c r="W13" s="74" t="str"/>
      <x:c r="X13" s="74" t="str"/>
      <x:c r="Y13" s="74" t="str"/>
    </x:row>
    <x:row r="14">
      <x:c r="A14" s="74" t="str">
        <x:v>Revitalização do Complexo Administrativo - Aracaju</x:v>
      </x:c>
      <x:c r="B14" s="74" t="str">
        <x:v>1.9</x:v>
      </x:c>
      <x:c r="C14" s="74" t="n">
        <x:v>2</x:v>
      </x:c>
      <x:c r="D14" s="74" t="str">
        <x:v>Resumo</x:v>
      </x:c>
      <x:c r="E14" s="74" t="str">
        <x:v>1</x:v>
      </x:c>
      <x:c r="F14" s="74" t="str">
        <x:v>Comissionamento e entrega</x:v>
      </x:c>
      <x:c r="G14" s="75" t="str">
        <x:v>Testes, as built, limpeza, documentação e entrega.</x:v>
      </x:c>
      <x:c r="H14" s="74" t="str"/>
      <x:c r="I14" s="74" t="str"/>
      <x:c r="J14" s="74" t="str"/>
      <x:c r="K14" s="75" t="str"/>
      <x:c r="L14" s="77" t="str"/>
      <x:c r="M14" s="77" t="str"/>
      <x:c r="N14" s="77" t="str"/>
      <x:c r="O14" s="77" t="str">
        <x:f>IF(OR(I14="",AND(L14="",M14="",N14="")),"",I14*(N(L14)+N(M14)+N(N14)))</x:f>
      </x:c>
      <x:c r="P14" s="76" t="str"/>
      <x:c r="Q14" s="76" t="str"/>
      <x:c r="R14" s="74" t="str"/>
      <x:c r="S14" s="74" t="str"/>
      <x:c r="T14" s="78" t="str"/>
      <x:c r="U14" s="74" t="str"/>
      <x:c r="V14" s="74" t="str"/>
      <x:c r="W14" s="74" t="str"/>
      <x:c r="X14" s="74" t="str"/>
      <x:c r="Y14" s="74" t="str"/>
    </x:row>
    <x:row r="15">
      <x:c r="A15" s="74" t="str">
        <x:v>Pavimentação Rodoviária SE-100 - Trecho Demonstrativo</x:v>
      </x:c>
      <x:c r="B15" s="74" t="str">
        <x:v>2</x:v>
      </x:c>
      <x:c r="C15" s="74" t="n">
        <x:v>1</x:v>
      </x:c>
      <x:c r="D15" s="74" t="str">
        <x:v>Resumo</x:v>
      </x:c>
      <x:c r="E15" s="74" t="str"/>
      <x:c r="F15" s="74" t="str">
        <x:v>Pavimentação Rodoviária SE-100 - Trecho Demonstrativo</x:v>
      </x:c>
      <x:c r="G15" s="75" t="str">
        <x:v>Estrutura Analítica do Projeto da obra rodoviária.</x:v>
      </x:c>
      <x:c r="H15" s="74" t="str"/>
      <x:c r="I15" s="74" t="str"/>
      <x:c r="J15" s="74" t="str"/>
      <x:c r="K15" s="75" t="str"/>
      <x:c r="L15" s="77" t="str"/>
      <x:c r="M15" s="77" t="str"/>
      <x:c r="N15" s="77" t="str"/>
      <x:c r="O15" s="77" t="str">
        <x:f>IF(OR(I15="",AND(L15="",M15="",N15="")),"",I15*(N(L15)+N(M15)+N(N15)))</x:f>
      </x:c>
      <x:c r="P15" s="76" t="str"/>
      <x:c r="Q15" s="76" t="str"/>
      <x:c r="R15" s="74" t="str"/>
      <x:c r="S15" s="74" t="str"/>
      <x:c r="T15" s="78" t="str"/>
      <x:c r="U15" s="74" t="str"/>
      <x:c r="V15" s="74" t="str"/>
      <x:c r="W15" s="74" t="str"/>
      <x:c r="X15" s="74" t="str"/>
      <x:c r="Y15" s="74" t="str"/>
    </x:row>
    <x:row r="16">
      <x:c r="A16" s="74" t="str">
        <x:v>Pavimentação Rodoviária SE-100 - Trecho Demonstrativo</x:v>
      </x:c>
      <x:c r="B16" s="74" t="str">
        <x:v>2.1</x:v>
      </x:c>
      <x:c r="C16" s="74" t="n">
        <x:v>2</x:v>
      </x:c>
      <x:c r="D16" s="74" t="str">
        <x:v>Resumo</x:v>
      </x:c>
      <x:c r="E16" s="74" t="str">
        <x:v>2</x:v>
      </x:c>
      <x:c r="F16" s="74" t="str">
        <x:v>Gestão, projetos e controle</x:v>
      </x:c>
      <x:c r="G16" s="75" t="str">
        <x:v>Planejamento, topografia, licenças, controle tecnológico e gestão.</x:v>
      </x:c>
      <x:c r="H16" s="74" t="str"/>
      <x:c r="I16" s="74" t="str"/>
      <x:c r="J16" s="74" t="str"/>
      <x:c r="K16" s="75" t="str"/>
      <x:c r="L16" s="77" t="str"/>
      <x:c r="M16" s="77" t="str"/>
      <x:c r="N16" s="77" t="str"/>
      <x:c r="O16" s="77" t="str">
        <x:f>IF(OR(I16="",AND(L16="",M16="",N16="")),"",I16*(N(L16)+N(M16)+N(N16)))</x:f>
      </x:c>
      <x:c r="P16" s="76" t="str"/>
      <x:c r="Q16" s="76" t="str"/>
      <x:c r="R16" s="74" t="str"/>
      <x:c r="S16" s="74" t="str"/>
      <x:c r="T16" s="78" t="str"/>
      <x:c r="U16" s="74" t="str"/>
      <x:c r="V16" s="74" t="str"/>
      <x:c r="W16" s="74" t="str"/>
      <x:c r="X16" s="74" t="str"/>
      <x:c r="Y16" s="74" t="str"/>
    </x:row>
    <x:row r="17">
      <x:c r="A17" s="74" t="str">
        <x:v>Pavimentação Rodoviária SE-100 - Trecho Demonstrativo</x:v>
      </x:c>
      <x:c r="B17" s="74" t="str">
        <x:v>2.2</x:v>
      </x:c>
      <x:c r="C17" s="74" t="n">
        <x:v>2</x:v>
      </x:c>
      <x:c r="D17" s="74" t="str">
        <x:v>Resumo</x:v>
      </x:c>
      <x:c r="E17" s="74" t="str">
        <x:v>2</x:v>
      </x:c>
      <x:c r="F17" s="74" t="str">
        <x:v>Mobilização e serviços preliminares</x:v>
      </x:c>
      <x:c r="G17" s="75" t="str">
        <x:v>Canteiro, acessos, sinalização provisória e limpeza inicial.</x:v>
      </x:c>
      <x:c r="H17" s="74" t="str"/>
      <x:c r="I17" s="74" t="str"/>
      <x:c r="J17" s="74" t="str"/>
      <x:c r="K17" s="75" t="str"/>
      <x:c r="L17" s="77" t="str"/>
      <x:c r="M17" s="77" t="str"/>
      <x:c r="N17" s="77" t="str"/>
      <x:c r="O17" s="77" t="str">
        <x:f>IF(OR(I17="",AND(L17="",M17="",N17="")),"",I17*(N(L17)+N(M17)+N(N17)))</x:f>
      </x:c>
      <x:c r="P17" s="76" t="str"/>
      <x:c r="Q17" s="76" t="str"/>
      <x:c r="R17" s="74" t="str"/>
      <x:c r="S17" s="74" t="str"/>
      <x:c r="T17" s="78" t="str"/>
      <x:c r="U17" s="74" t="str"/>
      <x:c r="V17" s="74" t="str"/>
      <x:c r="W17" s="74" t="str"/>
      <x:c r="X17" s="74" t="str"/>
      <x:c r="Y17" s="74" t="str"/>
    </x:row>
    <x:row r="18">
      <x:c r="A18" s="74" t="str">
        <x:v>Pavimentação Rodoviária SE-100 - Trecho Demonstrativo</x:v>
      </x:c>
      <x:c r="B18" s="74" t="str">
        <x:v>2.3</x:v>
      </x:c>
      <x:c r="C18" s="74" t="n">
        <x:v>2</x:v>
      </x:c>
      <x:c r="D18" s="74" t="str">
        <x:v>Resumo</x:v>
      </x:c>
      <x:c r="E18" s="74" t="str">
        <x:v>2</x:v>
      </x:c>
      <x:c r="F18" s="74" t="str">
        <x:v>Terraplenagem</x:v>
      </x:c>
      <x:c r="G18" s="75" t="str">
        <x:v>Cortes, aterros, compactação e regularização do subleito.</x:v>
      </x:c>
      <x:c r="H18" s="74" t="str"/>
      <x:c r="I18" s="74" t="str"/>
      <x:c r="J18" s="74" t="str"/>
      <x:c r="K18" s="75" t="str"/>
      <x:c r="L18" s="77" t="str"/>
      <x:c r="M18" s="77" t="str"/>
      <x:c r="N18" s="77" t="str"/>
      <x:c r="O18" s="77" t="str">
        <x:f>IF(OR(I18="",AND(L18="",M18="",N18="")),"",I18*(N(L18)+N(M18)+N(N18)))</x:f>
      </x:c>
      <x:c r="P18" s="76" t="str"/>
      <x:c r="Q18" s="76" t="str"/>
      <x:c r="R18" s="74" t="str"/>
      <x:c r="S18" s="74" t="str"/>
      <x:c r="T18" s="78" t="str"/>
      <x:c r="U18" s="74" t="str"/>
      <x:c r="V18" s="74" t="str"/>
      <x:c r="W18" s="74" t="str"/>
      <x:c r="X18" s="74" t="str"/>
      <x:c r="Y18" s="74" t="str"/>
    </x:row>
    <x:row r="19">
      <x:c r="A19" s="74" t="str">
        <x:v>Pavimentação Rodoviária SE-100 - Trecho Demonstrativo</x:v>
      </x:c>
      <x:c r="B19" s="74" t="str">
        <x:v>2.4</x:v>
      </x:c>
      <x:c r="C19" s="74" t="n">
        <x:v>2</x:v>
      </x:c>
      <x:c r="D19" s="74" t="str">
        <x:v>Resumo</x:v>
      </x:c>
      <x:c r="E19" s="74" t="str">
        <x:v>2</x:v>
      </x:c>
      <x:c r="F19" s="74" t="str">
        <x:v>Drenagem e obras correntes</x:v>
      </x:c>
      <x:c r="G19" s="75" t="str">
        <x:v>Bueiros, sarjetas, valetas, drenagem profunda e dispositivos.</x:v>
      </x:c>
      <x:c r="H19" s="74" t="str"/>
      <x:c r="I19" s="74" t="str"/>
      <x:c r="J19" s="74" t="str"/>
      <x:c r="K19" s="75" t="str"/>
      <x:c r="L19" s="77" t="str"/>
      <x:c r="M19" s="77" t="str"/>
      <x:c r="N19" s="77" t="str"/>
      <x:c r="O19" s="77" t="str">
        <x:f>IF(OR(I19="",AND(L19="",M19="",N19="")),"",I19*(N(L19)+N(M19)+N(N19)))</x:f>
      </x:c>
      <x:c r="P19" s="76" t="str"/>
      <x:c r="Q19" s="76" t="str"/>
      <x:c r="R19" s="74" t="str"/>
      <x:c r="S19" s="74" t="str"/>
      <x:c r="T19" s="78" t="str"/>
      <x:c r="U19" s="74" t="str"/>
      <x:c r="V19" s="74" t="str"/>
      <x:c r="W19" s="74" t="str"/>
      <x:c r="X19" s="74" t="str"/>
      <x:c r="Y19" s="74" t="str"/>
    </x:row>
    <x:row r="20">
      <x:c r="A20" s="74" t="str">
        <x:v>Pavimentação Rodoviária SE-100 - Trecho Demonstrativo</x:v>
      </x:c>
      <x:c r="B20" s="74" t="str">
        <x:v>2.5</x:v>
      </x:c>
      <x:c r="C20" s="74" t="n">
        <x:v>2</x:v>
      </x:c>
      <x:c r="D20" s="74" t="str">
        <x:v>Resumo</x:v>
      </x:c>
      <x:c r="E20" s="74" t="str">
        <x:v>2</x:v>
      </x:c>
      <x:c r="F20" s="74" t="str">
        <x:v>Pavimentação</x:v>
      </x:c>
      <x:c r="G20" s="75" t="str">
        <x:v>Sub-base, base, imprimação, pintura de ligação e revestimento asfáltico.</x:v>
      </x:c>
      <x:c r="H20" s="74" t="str"/>
      <x:c r="I20" s="74" t="str"/>
      <x:c r="J20" s="74" t="str"/>
      <x:c r="K20" s="75" t="str"/>
      <x:c r="L20" s="77" t="str"/>
      <x:c r="M20" s="77" t="str"/>
      <x:c r="N20" s="77" t="str"/>
      <x:c r="O20" s="77" t="str">
        <x:f>IF(OR(I20="",AND(L20="",M20="",N20="")),"",I20*(N(L20)+N(M20)+N(N20)))</x:f>
      </x:c>
      <x:c r="P20" s="76" t="str"/>
      <x:c r="Q20" s="76" t="str"/>
      <x:c r="R20" s="74" t="str"/>
      <x:c r="S20" s="74" t="str"/>
      <x:c r="T20" s="78" t="str"/>
      <x:c r="U20" s="74" t="str"/>
      <x:c r="V20" s="74" t="str"/>
      <x:c r="W20" s="74" t="str"/>
      <x:c r="X20" s="74" t="str"/>
      <x:c r="Y20" s="74" t="str"/>
    </x:row>
    <x:row r="21">
      <x:c r="A21" s="74" t="str">
        <x:v>Pavimentação Rodoviária SE-100 - Trecho Demonstrativo</x:v>
      </x:c>
      <x:c r="B21" s="74" t="str">
        <x:v>2.6</x:v>
      </x:c>
      <x:c r="C21" s="74" t="n">
        <x:v>2</x:v>
      </x:c>
      <x:c r="D21" s="74" t="str">
        <x:v>Resumo</x:v>
      </x:c>
      <x:c r="E21" s="74" t="str">
        <x:v>2</x:v>
      </x:c>
      <x:c r="F21" s="74" t="str">
        <x:v>Interseções e acostamentos</x:v>
      </x:c>
      <x:c r="G21" s="75" t="str">
        <x:v>Adequação geométrica, acessos e acostamentos.</x:v>
      </x:c>
      <x:c r="H21" s="74" t="str"/>
      <x:c r="I21" s="74" t="str"/>
      <x:c r="J21" s="74" t="str"/>
      <x:c r="K21" s="75" t="str"/>
      <x:c r="L21" s="77" t="str"/>
      <x:c r="M21" s="77" t="str"/>
      <x:c r="N21" s="77" t="str"/>
      <x:c r="O21" s="77" t="str">
        <x:f>IF(OR(I21="",AND(L21="",M21="",N21="")),"",I21*(N(L21)+N(M21)+N(N21)))</x:f>
      </x:c>
      <x:c r="P21" s="76" t="str"/>
      <x:c r="Q21" s="76" t="str"/>
      <x:c r="R21" s="74" t="str"/>
      <x:c r="S21" s="74" t="str"/>
      <x:c r="T21" s="78" t="str"/>
      <x:c r="U21" s="74" t="str"/>
      <x:c r="V21" s="74" t="str"/>
      <x:c r="W21" s="74" t="str"/>
      <x:c r="X21" s="74" t="str"/>
      <x:c r="Y21" s="74" t="str"/>
    </x:row>
    <x:row r="22">
      <x:c r="A22" s="74" t="str">
        <x:v>Pavimentação Rodoviária SE-100 - Trecho Demonstrativo</x:v>
      </x:c>
      <x:c r="B22" s="74" t="str">
        <x:v>2.7</x:v>
      </x:c>
      <x:c r="C22" s="74" t="n">
        <x:v>2</x:v>
      </x:c>
      <x:c r="D22" s="74" t="str">
        <x:v>Resumo</x:v>
      </x:c>
      <x:c r="E22" s="74" t="str">
        <x:v>2</x:v>
      </x:c>
      <x:c r="F22" s="74" t="str">
        <x:v>Sinalização e segurança viária</x:v>
      </x:c>
      <x:c r="G22" s="75" t="str">
        <x:v>Sinalização horizontal, vertical e dispositivos de contenção.</x:v>
      </x:c>
      <x:c r="H22" s="74" t="str"/>
      <x:c r="I22" s="74" t="str"/>
      <x:c r="J22" s="74" t="str"/>
      <x:c r="K22" s="75" t="str"/>
      <x:c r="L22" s="77" t="str"/>
      <x:c r="M22" s="77" t="str"/>
      <x:c r="N22" s="77" t="str"/>
      <x:c r="O22" s="77" t="str">
        <x:f>IF(OR(I22="",AND(L22="",M22="",N22="")),"",I22*(N(L22)+N(M22)+N(N22)))</x:f>
      </x:c>
      <x:c r="P22" s="76" t="str"/>
      <x:c r="Q22" s="76" t="str"/>
      <x:c r="R22" s="74" t="str"/>
      <x:c r="S22" s="74" t="str"/>
      <x:c r="T22" s="78" t="str"/>
      <x:c r="U22" s="74" t="str"/>
      <x:c r="V22" s="74" t="str"/>
      <x:c r="W22" s="74" t="str"/>
      <x:c r="X22" s="74" t="str"/>
      <x:c r="Y22" s="74" t="str"/>
    </x:row>
    <x:row r="23">
      <x:c r="A23" s="74" t="str">
        <x:v>Pavimentação Rodoviária SE-100 - Trecho Demonstrativo</x:v>
      </x:c>
      <x:c r="B23" s="74" t="str">
        <x:v>2.8</x:v>
      </x:c>
      <x:c r="C23" s="74" t="n">
        <x:v>2</x:v>
      </x:c>
      <x:c r="D23" s="74" t="str">
        <x:v>Resumo</x:v>
      </x:c>
      <x:c r="E23" s="74" t="str">
        <x:v>2</x:v>
      </x:c>
      <x:c r="F23" s="74" t="str">
        <x:v>Meio ambiente e recuperação</x:v>
      </x:c>
      <x:c r="G23" s="75" t="str">
        <x:v>Controle ambiental, recomposição vegetal e áreas de apoio.</x:v>
      </x:c>
      <x:c r="H23" s="74" t="str"/>
      <x:c r="I23" s="74" t="str"/>
      <x:c r="J23" s="74" t="str"/>
      <x:c r="K23" s="75" t="str"/>
      <x:c r="L23" s="77" t="str"/>
      <x:c r="M23" s="77" t="str"/>
      <x:c r="N23" s="77" t="str"/>
      <x:c r="O23" s="77" t="str">
        <x:f>IF(OR(I23="",AND(L23="",M23="",N23="")),"",I23*(N(L23)+N(M23)+N(N23)))</x:f>
      </x:c>
      <x:c r="P23" s="76" t="str"/>
      <x:c r="Q23" s="76" t="str"/>
      <x:c r="R23" s="74" t="str"/>
      <x:c r="S23" s="74" t="str"/>
      <x:c r="T23" s="78" t="str"/>
      <x:c r="U23" s="74" t="str"/>
      <x:c r="V23" s="74" t="str"/>
      <x:c r="W23" s="74" t="str"/>
      <x:c r="X23" s="74" t="str"/>
      <x:c r="Y23" s="74" t="str"/>
    </x:row>
    <x:row r="24">
      <x:c r="A24" s="74" t="str">
        <x:v>Pavimentação Rodoviária SE-100 - Trecho Demonstrativo</x:v>
      </x:c>
      <x:c r="B24" s="74" t="str">
        <x:v>2.9</x:v>
      </x:c>
      <x:c r="C24" s="74" t="n">
        <x:v>2</x:v>
      </x:c>
      <x:c r="D24" s="74" t="str">
        <x:v>Resumo</x:v>
      </x:c>
      <x:c r="E24" s="74" t="str">
        <x:v>2</x:v>
      </x:c>
      <x:c r="F24" s="74" t="str">
        <x:v>Controle tecnológico e entrega</x:v>
      </x:c>
      <x:c r="G24" s="75" t="str">
        <x:v>Ensaios, levantamento final, desmobilização e entrega.</x:v>
      </x:c>
      <x:c r="H24" s="74" t="str"/>
      <x:c r="I24" s="74" t="str"/>
      <x:c r="J24" s="74" t="str"/>
      <x:c r="K24" s="75" t="str"/>
      <x:c r="L24" s="77" t="str"/>
      <x:c r="M24" s="77" t="str"/>
      <x:c r="N24" s="77" t="str"/>
      <x:c r="O24" s="77" t="str">
        <x:f>IF(OR(I24="",AND(L24="",M24="",N24="")),"",I24*(N(L24)+N(M24)+N(N24)))</x:f>
      </x:c>
      <x:c r="P24" s="76" t="str"/>
      <x:c r="Q24" s="76" t="str"/>
      <x:c r="R24" s="74" t="str"/>
      <x:c r="S24" s="74" t="str"/>
      <x:c r="T24" s="78" t="str"/>
      <x:c r="U24" s="74" t="str"/>
      <x:c r="V24" s="74" t="str"/>
      <x:c r="W24" s="74" t="str"/>
      <x:c r="X24" s="74" t="str"/>
      <x:c r="Y24" s="74" t="str"/>
    </x:row>
    <x:row r="25">
      <x:c r="A25" s="74" t="str">
        <x:v>Revitalização do Complexo Administrativo - Aracaju</x:v>
      </x:c>
      <x:c r="B25" s="74" t="str">
        <x:v>1.1.1</x:v>
      </x:c>
      <x:c r="C25" s="74" t="n">
        <x:v>3</x:v>
      </x:c>
      <x:c r="D25" s="74" t="str">
        <x:v>Tarefa</x:v>
      </x:c>
      <x:c r="E25" s="74" t="str">
        <x:v>1.1</x:v>
      </x:c>
      <x:c r="F25" s="74" t="str">
        <x:v>Planejamento executivo da obra</x:v>
      </x:c>
      <x:c r="G25" s="75" t="str">
        <x:v>Plano de execução, logística, suprimentos e marcos de controle.</x:v>
      </x:c>
      <x:c r="H25" s="74" t="str"/>
      <x:c r="I25" s="74" t="str"/>
      <x:c r="J25" s="74" t="str">
        <x:v>Carlos Mendes</x:v>
      </x:c>
      <x:c r="K25" s="75" t="str">
        <x:v>Plano aprovado pela gestão e compatibilizado com contrato.</x:v>
      </x:c>
      <x:c r="L25" s="77" t="str"/>
      <x:c r="M25" s="77" t="str"/>
      <x:c r="N25" s="77" t="str"/>
      <x:c r="O25" s="77" t="str">
        <x:f>IF(OR(I25="",AND(L25="",M25="",N25="")),"",I25*(N(L25)+N(M25)+N(N25)))</x:f>
      </x:c>
      <x:c r="P25" s="76" t="n">
        <x:v>46204</x:v>
      </x:c>
      <x:c r="Q25" s="76" t="n">
        <x:v>46213</x:v>
      </x:c>
      <x:c r="R25" s="74" t="n">
        <x:v>8</x:v>
      </x:c>
      <x:c r="S25" s="74" t="str">
        <x:v>Percentual</x:v>
      </x:c>
      <x:c r="T25" s="78" t="n">
        <x:v>100</x:v>
      </x:c>
      <x:c r="U25" s="74" t="str"/>
      <x:c r="V25" s="74" t="str"/>
      <x:c r="W25" s="74" t="str"/>
      <x:c r="X25" s="74" t="str"/>
      <x:c r="Y25" s="74" t="str">
        <x:v>Concluída</x:v>
      </x:c>
    </x:row>
    <x:row r="26">
      <x:c r="A26" s="74" t="str">
        <x:v>Revitalização do Complexo Administrativo - Aracaju</x:v>
      </x:c>
      <x:c r="B26" s="74" t="str">
        <x:v>1.1.2</x:v>
      </x:c>
      <x:c r="C26" s="74" t="n">
        <x:v>3</x:v>
      </x:c>
      <x:c r="D26" s="74" t="str">
        <x:v>Tarefa</x:v>
      </x:c>
      <x:c r="E26" s="74" t="str">
        <x:v>1.1</x:v>
      </x:c>
      <x:c r="F26" s="74" t="str">
        <x:v>Levantamento cadastral e diagnóstico</x:v>
      </x:c>
      <x:c r="G26" s="75" t="str">
        <x:v>Levantamentos arquitetônicos, estruturais e de instalações.</x:v>
      </x:c>
      <x:c r="H26" s="74" t="str"/>
      <x:c r="I26" s="74" t="str"/>
      <x:c r="J26" s="74" t="str">
        <x:v>Ana Souza</x:v>
      </x:c>
      <x:c r="K26" s="75" t="str">
        <x:v>Cadastro validado em campo e documentação emitida.</x:v>
      </x:c>
      <x:c r="L26" s="77" t="str"/>
      <x:c r="M26" s="77" t="str"/>
      <x:c r="N26" s="77" t="str"/>
      <x:c r="O26" s="77" t="str">
        <x:f>IF(OR(I26="",AND(L26="",M26="",N26="")),"",I26*(N(L26)+N(M26)+N(N26)))</x:f>
      </x:c>
      <x:c r="P26" s="76" t="n">
        <x:v>46204</x:v>
      </x:c>
      <x:c r="Q26" s="76" t="n">
        <x:v>46220</x:v>
      </x:c>
      <x:c r="R26" s="74" t="n">
        <x:v>13</x:v>
      </x:c>
      <x:c r="S26" s="74" t="str">
        <x:v>Percentual</x:v>
      </x:c>
      <x:c r="T26" s="78" t="n">
        <x:v>100</x:v>
      </x:c>
      <x:c r="U26" s="74" t="str"/>
      <x:c r="V26" s="74" t="str"/>
      <x:c r="W26" s="74" t="str"/>
      <x:c r="X26" s="74" t="str"/>
      <x:c r="Y26" s="74" t="str">
        <x:v>Concluída</x:v>
      </x:c>
    </x:row>
    <x:row r="27">
      <x:c r="A27" s="74" t="str">
        <x:v>Revitalização do Complexo Administrativo - Aracaju</x:v>
      </x:c>
      <x:c r="B27" s="74" t="str">
        <x:v>1.1.3</x:v>
      </x:c>
      <x:c r="C27" s="74" t="n">
        <x:v>3</x:v>
      </x:c>
      <x:c r="D27" s="74" t="str">
        <x:v>Tarefa</x:v>
      </x:c>
      <x:c r="E27" s="74" t="str">
        <x:v>1.1</x:v>
      </x:c>
      <x:c r="F27" s="74" t="str">
        <x:v>Compatibilização dos projetos complementares</x:v>
      </x:c>
      <x:c r="G27" s="75" t="str">
        <x:v>Compatibilização arquitetura/estrutura/elétrica/hidrossanitária.</x:v>
      </x:c>
      <x:c r="H27" s="74" t="str"/>
      <x:c r="I27" s="74" t="str"/>
      <x:c r="J27" s="74" t="str">
        <x:v>Ana Souza</x:v>
      </x:c>
      <x:c r="K27" s="75" t="str">
        <x:v>Interferências resolvidas e revisão liberada.</x:v>
      </x:c>
      <x:c r="L27" s="77" t="str"/>
      <x:c r="M27" s="77" t="str"/>
      <x:c r="N27" s="77" t="str"/>
      <x:c r="O27" s="77" t="str">
        <x:f>IF(OR(I27="",AND(L27="",M27="",N27="")),"",I27*(N(L27)+N(M27)+N(N27)))</x:f>
      </x:c>
      <x:c r="P27" s="76" t="n">
        <x:v>46216</x:v>
      </x:c>
      <x:c r="Q27" s="76" t="n">
        <x:v>46234</x:v>
      </x:c>
      <x:c r="R27" s="74" t="n">
        <x:v>15</x:v>
      </x:c>
      <x:c r="S27" s="74" t="str">
        <x:v>Percentual</x:v>
      </x:c>
      <x:c r="T27" s="78" t="n">
        <x:v>100</x:v>
      </x:c>
      <x:c r="U27" s="74" t="str"/>
      <x:c r="V27" s="74" t="str"/>
      <x:c r="W27" s="74" t="str"/>
      <x:c r="X27" s="74" t="str">
        <x:v>1.1.2</x:v>
      </x:c>
      <x:c r="Y27" s="74" t="str">
        <x:v>Concluída</x:v>
      </x:c>
    </x:row>
    <x:row r="28">
      <x:c r="A28" s="74" t="str">
        <x:v>Revitalização do Complexo Administrativo - Aracaju</x:v>
      </x:c>
      <x:c r="B28" s="74" t="str">
        <x:v>1.2.1</x:v>
      </x:c>
      <x:c r="C28" s="74" t="n">
        <x:v>3</x:v>
      </x:c>
      <x:c r="D28" s="74" t="str">
        <x:v>Tarefa</x:v>
      </x:c>
      <x:c r="E28" s="74" t="str">
        <x:v>1.2</x:v>
      </x:c>
      <x:c r="F28" s="74" t="str">
        <x:v>Mobilização e implantação do canteiro</x:v>
      </x:c>
      <x:c r="G28" s="75" t="str">
        <x:v>Instalações provisórias, escritório, almoxarifado e áreas de apoio.</x:v>
      </x:c>
      <x:c r="H28" s="74" t="str"/>
      <x:c r="I28" s="74" t="str"/>
      <x:c r="J28" s="74" t="str">
        <x:v>Carlos Mendes</x:v>
      </x:c>
      <x:c r="K28" s="75" t="str">
        <x:v>Canteiro operacional e liberado pela segurança.</x:v>
      </x:c>
      <x:c r="L28" s="77" t="str"/>
      <x:c r="M28" s="77" t="str"/>
      <x:c r="N28" s="77" t="str"/>
      <x:c r="O28" s="77" t="str">
        <x:f>IF(OR(I28="",AND(L28="",M28="",N28="")),"",I28*(N(L28)+N(M28)+N(N28)))</x:f>
      </x:c>
      <x:c r="P28" s="76" t="n">
        <x:v>46204</x:v>
      </x:c>
      <x:c r="Q28" s="76" t="n">
        <x:v>46223</x:v>
      </x:c>
      <x:c r="R28" s="74" t="n">
        <x:v>14</x:v>
      </x:c>
      <x:c r="S28" s="74" t="str">
        <x:v>Percentual</x:v>
      </x:c>
      <x:c r="T28" s="78" t="n">
        <x:v>100</x:v>
      </x:c>
      <x:c r="U28" s="74" t="str"/>
      <x:c r="V28" s="74" t="str"/>
      <x:c r="W28" s="74" t="str"/>
      <x:c r="X28" s="74" t="str"/>
      <x:c r="Y28" s="74" t="str">
        <x:v>Concluída</x:v>
      </x:c>
    </x:row>
    <x:row r="29">
      <x:c r="A29" s="74" t="str">
        <x:v>Revitalização do Complexo Administrativo - Aracaju</x:v>
      </x:c>
      <x:c r="B29" s="74" t="str">
        <x:v>1.2.2</x:v>
      </x:c>
      <x:c r="C29" s="74" t="n">
        <x:v>3</x:v>
      </x:c>
      <x:c r="D29" s="74" t="str">
        <x:v>Tarefa</x:v>
      </x:c>
      <x:c r="E29" s="74" t="str">
        <x:v>1.2</x:v>
      </x:c>
      <x:c r="F29" s="74" t="str">
        <x:v>Proteções coletivas, tapumes e sinalização</x:v>
      </x:c>
      <x:c r="G29" s="75" t="str">
        <x:v>Isolamento das frentes, EPC e sinalização de segurança.</x:v>
      </x:c>
      <x:c r="H29" s="74" t="str"/>
      <x:c r="I29" s="74" t="str"/>
      <x:c r="J29" s="74" t="str">
        <x:v>Marcos Lima</x:v>
      </x:c>
      <x:c r="K29" s="75" t="str">
        <x:v>Vistoria de segurança aprovada.</x:v>
      </x:c>
      <x:c r="L29" s="77" t="str"/>
      <x:c r="M29" s="77" t="str"/>
      <x:c r="N29" s="77" t="str"/>
      <x:c r="O29" s="77" t="str">
        <x:f>IF(OR(I29="",AND(L29="",M29="",N29="")),"",I29*(N(L29)+N(M29)+N(N29)))</x:f>
      </x:c>
      <x:c r="P29" s="76" t="n">
        <x:v>46209</x:v>
      </x:c>
      <x:c r="Q29" s="76" t="n">
        <x:v>46227</x:v>
      </x:c>
      <x:c r="R29" s="74" t="n">
        <x:v>15</x:v>
      </x:c>
      <x:c r="S29" s="74" t="str">
        <x:v>Percentual</x:v>
      </x:c>
      <x:c r="T29" s="78" t="n">
        <x:v>100</x:v>
      </x:c>
      <x:c r="U29" s="74" t="str"/>
      <x:c r="V29" s="74" t="str"/>
      <x:c r="W29" s="74" t="str"/>
      <x:c r="X29" s="74" t="str">
        <x:v>1.2.1</x:v>
      </x:c>
      <x:c r="Y29" s="74" t="str">
        <x:v>Concluída</x:v>
      </x:c>
    </x:row>
    <x:row r="30">
      <x:c r="A30" s="74" t="str">
        <x:v>Revitalização do Complexo Administrativo - Aracaju</x:v>
      </x:c>
      <x:c r="B30" s="74" t="str">
        <x:v>1.2.3</x:v>
      </x:c>
      <x:c r="C30" s="74" t="n">
        <x:v>3</x:v>
      </x:c>
      <x:c r="D30" s="74" t="str">
        <x:v>Tarefa</x:v>
      </x:c>
      <x:c r="E30" s="74" t="str">
        <x:v>1.2</x:v>
      </x:c>
      <x:c r="F30" s="74" t="str">
        <x:v>Demolições controladas e remoções</x:v>
      </x:c>
      <x:c r="G30" s="75" t="str">
        <x:v>Demolições de revestimentos, forros e elementos previstos.</x:v>
      </x:c>
      <x:c r="H30" s="74" t="str">
        <x:v>m²</x:v>
      </x:c>
      <x:c r="I30" s="74" t="n">
        <x:v>1800</x:v>
      </x:c>
      <x:c r="J30" s="74" t="str">
        <x:v>Marcos Lima</x:v>
      </x:c>
      <x:c r="K30" s="75" t="str">
        <x:v>Áreas liberadas e resíduos destinados adequadamente.</x:v>
      </x:c>
      <x:c r="L30" s="77" t="str"/>
      <x:c r="M30" s="77" t="n">
        <x:v>38</x:v>
      </x:c>
      <x:c r="N30" s="77" t="n">
        <x:v>10</x:v>
      </x:c>
      <x:c r="O30" s="77" t="n">
        <x:f>IF(OR(I30="",AND(L30="",M30="",N30="")),"",I30*(N(L30)+N(M30)+N(N30)))</x:f>
        <x:v>86400</x:v>
      </x:c>
      <x:c r="P30" s="76" t="n">
        <x:v>46223</x:v>
      </x:c>
      <x:c r="Q30" s="76" t="n">
        <x:v>46255</x:v>
      </x:c>
      <x:c r="R30" s="74" t="n">
        <x:v>25</x:v>
      </x:c>
      <x:c r="S30" s="74" t="str">
        <x:v>Quantidade</x:v>
      </x:c>
      <x:c r="T30" s="78" t="n">
        <x:v>100</x:v>
      </x:c>
      <x:c r="U30" s="74" t="n">
        <x:v>1800</x:v>
      </x:c>
      <x:c r="V30" s="74" t="n">
        <x:v>1800</x:v>
      </x:c>
      <x:c r="W30" s="74" t="str">
        <x:v>m²</x:v>
      </x:c>
      <x:c r="X30" s="74" t="str">
        <x:v>1.2.2</x:v>
      </x:c>
      <x:c r="Y30" s="74" t="str">
        <x:v>Concluída</x:v>
      </x:c>
    </x:row>
    <x:row r="31">
      <x:c r="A31" s="74" t="str">
        <x:v>Revitalização do Complexo Administrativo - Aracaju</x:v>
      </x:c>
      <x:c r="B31" s="74" t="str">
        <x:v>1.3.1</x:v>
      </x:c>
      <x:c r="C31" s="74" t="n">
        <x:v>3</x:v>
      </x:c>
      <x:c r="D31" s="74" t="str">
        <x:v>Tarefa</x:v>
      </x:c>
      <x:c r="E31" s="74" t="str">
        <x:v>1.3</x:v>
      </x:c>
      <x:c r="F31" s="74" t="str">
        <x:v>Inspeção e mapeamento das patologias</x:v>
      </x:c>
      <x:c r="G31" s="75" t="str">
        <x:v>Mapeamento de fissuras, corrosão, destacamentos e deformações.</x:v>
      </x:c>
      <x:c r="H31" s="74" t="str"/>
      <x:c r="I31" s="74" t="str"/>
      <x:c r="J31" s="74" t="str">
        <x:v>Ana Souza</x:v>
      </x:c>
      <x:c r="K31" s="75" t="str">
        <x:v>Mapa de patologias e critérios de intervenção aprovados.</x:v>
      </x:c>
      <x:c r="L31" s="77" t="str"/>
      <x:c r="M31" s="77" t="str"/>
      <x:c r="N31" s="77" t="str"/>
      <x:c r="O31" s="77" t="str">
        <x:f>IF(OR(I31="",AND(L31="",M31="",N31="")),"",I31*(N(L31)+N(M31)+N(N31)))</x:f>
      </x:c>
      <x:c r="P31" s="76" t="n">
        <x:v>46230</x:v>
      </x:c>
      <x:c r="Q31" s="76" t="n">
        <x:v>46241</x:v>
      </x:c>
      <x:c r="R31" s="74" t="n">
        <x:v>10</x:v>
      </x:c>
      <x:c r="S31" s="74" t="str">
        <x:v>Percentual</x:v>
      </x:c>
      <x:c r="T31" s="78" t="n">
        <x:v>100</x:v>
      </x:c>
      <x:c r="U31" s="74" t="str"/>
      <x:c r="V31" s="74" t="str"/>
      <x:c r="W31" s="74" t="str"/>
      <x:c r="X31" s="74" t="str">
        <x:v>1.2.3</x:v>
      </x:c>
      <x:c r="Y31" s="74" t="str">
        <x:v>Concluída</x:v>
      </x:c>
    </x:row>
    <x:row r="32">
      <x:c r="A32" s="74" t="str">
        <x:v>Revitalização do Complexo Administrativo - Aracaju</x:v>
      </x:c>
      <x:c r="B32" s="74" t="str">
        <x:v>1.3.2</x:v>
      </x:c>
      <x:c r="C32" s="74" t="n">
        <x:v>3</x:v>
      </x:c>
      <x:c r="D32" s="74" t="str">
        <x:v>Tarefa</x:v>
      </x:c>
      <x:c r="E32" s="74" t="str">
        <x:v>1.3</x:v>
      </x:c>
      <x:c r="F32" s="74" t="str">
        <x:v>Recuperação de concreto e armaduras</x:v>
      </x:c>
      <x:c r="G32" s="75" t="str">
        <x:v>Remoção de concreto deteriorado, tratamento e recomposição.</x:v>
      </x:c>
      <x:c r="H32" s="74" t="str">
        <x:v>m²</x:v>
      </x:c>
      <x:c r="I32" s="74" t="n">
        <x:v>520</x:v>
      </x:c>
      <x:c r="J32" s="74" t="str">
        <x:v>Ana Souza</x:v>
      </x:c>
      <x:c r="K32" s="75" t="str">
        <x:v>Resistência, cobrimento e acabamento conforme projeto.</x:v>
      </x:c>
      <x:c r="L32" s="77" t="n">
        <x:v>190</x:v>
      </x:c>
      <x:c r="M32" s="77" t="n">
        <x:v>150</x:v>
      </x:c>
      <x:c r="N32" s="77" t="n">
        <x:v>35</x:v>
      </x:c>
      <x:c r="O32" s="77" t="n">
        <x:f>IF(OR(I32="",AND(L32="",M32="",N32="")),"",I32*(N(L32)+N(M32)+N(N32)))</x:f>
        <x:v>195000</x:v>
      </x:c>
      <x:c r="P32" s="76" t="n">
        <x:v>46244</x:v>
      </x:c>
      <x:c r="Q32" s="76" t="n">
        <x:v>46283</x:v>
      </x:c>
      <x:c r="R32" s="74" t="n">
        <x:v>30</x:v>
      </x:c>
      <x:c r="S32" s="74" t="str">
        <x:v>Quantidade</x:v>
      </x:c>
      <x:c r="T32" s="78" t="n">
        <x:v>80</x:v>
      </x:c>
      <x:c r="U32" s="74" t="n">
        <x:v>520</x:v>
      </x:c>
      <x:c r="V32" s="74" t="n">
        <x:v>416</x:v>
      </x:c>
      <x:c r="W32" s="74" t="str">
        <x:v>m²</x:v>
      </x:c>
      <x:c r="X32" s="74" t="str">
        <x:v>1.3.1</x:v>
      </x:c>
      <x:c r="Y32" s="74" t="str">
        <x:v>Em andamento</x:v>
      </x:c>
    </x:row>
    <x:row r="33">
      <x:c r="A33" s="74" t="str">
        <x:v>Revitalização do Complexo Administrativo - Aracaju</x:v>
      </x:c>
      <x:c r="B33" s="74" t="str">
        <x:v>1.3.3</x:v>
      </x:c>
      <x:c r="C33" s="74" t="n">
        <x:v>3</x:v>
      </x:c>
      <x:c r="D33" s="74" t="str">
        <x:v>Tarefa</x:v>
      </x:c>
      <x:c r="E33" s="74" t="str">
        <x:v>1.3</x:v>
      </x:c>
      <x:c r="F33" s="74" t="str">
        <x:v>Reforço estrutural localizado</x:v>
      </x:c>
      <x:c r="G33" s="75" t="str">
        <x:v>Reforços com perfis, chapas ou compósitos conforme projeto.</x:v>
      </x:c>
      <x:c r="H33" s="74" t="str">
        <x:v>m²</x:v>
      </x:c>
      <x:c r="I33" s="74" t="n">
        <x:v>950</x:v>
      </x:c>
      <x:c r="J33" s="74" t="str">
        <x:v>Ana Souza</x:v>
      </x:c>
      <x:c r="K33" s="75" t="str">
        <x:v>Inspeções e ensaios aceitos pela fiscalização.</x:v>
      </x:c>
      <x:c r="L33" s="77" t="n">
        <x:v>260</x:v>
      </x:c>
      <x:c r="M33" s="77" t="n">
        <x:v>170</x:v>
      </x:c>
      <x:c r="N33" s="77" t="n">
        <x:v>50</x:v>
      </x:c>
      <x:c r="O33" s="77" t="n">
        <x:f>IF(OR(I33="",AND(L33="",M33="",N33="")),"",I33*(N(L33)+N(M33)+N(N33)))</x:f>
        <x:v>456000</x:v>
      </x:c>
      <x:c r="P33" s="76" t="n">
        <x:v>46258</x:v>
      </x:c>
      <x:c r="Q33" s="76" t="n">
        <x:v>46304</x:v>
      </x:c>
      <x:c r="R33" s="74" t="n">
        <x:v>35</x:v>
      </x:c>
      <x:c r="S33" s="74" t="str">
        <x:v>Quantidade</x:v>
      </x:c>
      <x:c r="T33" s="78" t="n">
        <x:v>62</x:v>
      </x:c>
      <x:c r="U33" s="74" t="n">
        <x:v>950</x:v>
      </x:c>
      <x:c r="V33" s="74" t="n">
        <x:v>589</x:v>
      </x:c>
      <x:c r="W33" s="74" t="str">
        <x:v>m²</x:v>
      </x:c>
      <x:c r="X33" s="74" t="str">
        <x:v>1.3.1</x:v>
      </x:c>
      <x:c r="Y33" s="74" t="str">
        <x:v>Em andamento</x:v>
      </x:c>
    </x:row>
    <x:row r="34">
      <x:c r="A34" s="74" t="str">
        <x:v>Revitalização do Complexo Administrativo - Aracaju</x:v>
      </x:c>
      <x:c r="B34" s="74" t="str">
        <x:v>1.4.1</x:v>
      </x:c>
      <x:c r="C34" s="74" t="n">
        <x:v>3</x:v>
      </x:c>
      <x:c r="D34" s="74" t="str">
        <x:v>Tarefa</x:v>
      </x:c>
      <x:c r="E34" s="74" t="str">
        <x:v>1.4</x:v>
      </x:c>
      <x:c r="F34" s="74" t="str">
        <x:v>Revisão da cobertura e substituição de telhas</x:v>
      </x:c>
      <x:c r="G34" s="75" t="str">
        <x:v>Inspeção, retirada e substituição das telhas danificadas.</x:v>
      </x:c>
      <x:c r="H34" s="74" t="str">
        <x:v>m²</x:v>
      </x:c>
      <x:c r="I34" s="74" t="n">
        <x:v>480</x:v>
      </x:c>
      <x:c r="J34" s="74" t="str">
        <x:v>Marina Alves</x:v>
      </x:c>
      <x:c r="K34" s="75" t="str">
        <x:v>Cobertura estanque e fixação revisada.</x:v>
      </x:c>
      <x:c r="L34" s="77" t="n">
        <x:v>85</x:v>
      </x:c>
      <x:c r="M34" s="77" t="n">
        <x:v>55</x:v>
      </x:c>
      <x:c r="N34" s="77" t="str"/>
      <x:c r="O34" s="77" t="n">
        <x:f>IF(OR(I34="",AND(L34="",M34="",N34="")),"",I34*(N(L34)+N(M34)+N(N34)))</x:f>
        <x:v>67200</x:v>
      </x:c>
      <x:c r="P34" s="76" t="n">
        <x:v>46279</x:v>
      </x:c>
      <x:c r="Q34" s="76" t="n">
        <x:v>46297</x:v>
      </x:c>
      <x:c r="R34" s="74" t="n">
        <x:v>15</x:v>
      </x:c>
      <x:c r="S34" s="74" t="str">
        <x:v>Quantidade</x:v>
      </x:c>
      <x:c r="T34" s="78" t="n">
        <x:v>35</x:v>
      </x:c>
      <x:c r="U34" s="74" t="n">
        <x:v>480</x:v>
      </x:c>
      <x:c r="V34" s="74" t="n">
        <x:v>168</x:v>
      </x:c>
      <x:c r="W34" s="74" t="str">
        <x:v>m²</x:v>
      </x:c>
      <x:c r="X34" s="74" t="str">
        <x:v>1.2.3</x:v>
      </x:c>
      <x:c r="Y34" s="74" t="str">
        <x:v>Em andamento</x:v>
      </x:c>
    </x:row>
    <x:row r="35">
      <x:c r="A35" s="74" t="str">
        <x:v>Revitalização do Complexo Administrativo - Aracaju</x:v>
      </x:c>
      <x:c r="B35" s="74" t="str">
        <x:v>1.4.2</x:v>
      </x:c>
      <x:c r="C35" s="74" t="n">
        <x:v>3</x:v>
      </x:c>
      <x:c r="D35" s="74" t="str">
        <x:v>Tarefa</x:v>
      </x:c>
      <x:c r="E35" s="74" t="str">
        <x:v>1.4</x:v>
      </x:c>
      <x:c r="F35" s="74" t="str">
        <x:v>Recuperação de calhas e rufos</x:v>
      </x:c>
      <x:c r="G35" s="75" t="str">
        <x:v>Limpeza, reparos, vedação e recomposição.</x:v>
      </x:c>
      <x:c r="H35" s="74" t="str">
        <x:v>m</x:v>
      </x:c>
      <x:c r="I35" s="74" t="n">
        <x:v>610</x:v>
      </x:c>
      <x:c r="J35" s="74" t="str">
        <x:v>Marina Alves</x:v>
      </x:c>
      <x:c r="K35" s="75" t="str">
        <x:v>Teste de escoamento sem vazamentos.</x:v>
      </x:c>
      <x:c r="L35" s="77" t="n">
        <x:v>42</x:v>
      </x:c>
      <x:c r="M35" s="77" t="n">
        <x:v>36</x:v>
      </x:c>
      <x:c r="N35" s="77" t="str"/>
      <x:c r="O35" s="77" t="n">
        <x:f>IF(OR(I35="",AND(L35="",M35="",N35="")),"",I35*(N(L35)+N(M35)+N(N35)))</x:f>
        <x:v>47580</x:v>
      </x:c>
      <x:c r="P35" s="76" t="n">
        <x:v>46286</x:v>
      </x:c>
      <x:c r="Q35" s="76" t="n">
        <x:v>46311</x:v>
      </x:c>
      <x:c r="R35" s="74" t="n">
        <x:v>20</x:v>
      </x:c>
      <x:c r="S35" s="74" t="str">
        <x:v>Quantidade</x:v>
      </x:c>
      <x:c r="T35" s="78" t="n">
        <x:v>20</x:v>
      </x:c>
      <x:c r="U35" s="74" t="n">
        <x:v>610</x:v>
      </x:c>
      <x:c r="V35" s="74" t="n">
        <x:v>122</x:v>
      </x:c>
      <x:c r="W35" s="74" t="str">
        <x:v>m</x:v>
      </x:c>
      <x:c r="X35" s="74" t="str">
        <x:v>1.4.1</x:v>
      </x:c>
      <x:c r="Y35" s="74" t="str">
        <x:v>Em andamento</x:v>
      </x:c>
    </x:row>
    <x:row r="36">
      <x:c r="A36" s="74" t="str">
        <x:v>Revitalização do Complexo Administrativo - Aracaju</x:v>
      </x:c>
      <x:c r="B36" s="74" t="str">
        <x:v>1.4.3</x:v>
      </x:c>
      <x:c r="C36" s="74" t="n">
        <x:v>3</x:v>
      </x:c>
      <x:c r="D36" s="74" t="str">
        <x:v>Tarefa</x:v>
      </x:c>
      <x:c r="E36" s="74" t="str">
        <x:v>1.4</x:v>
      </x:c>
      <x:c r="F36" s="74" t="str">
        <x:v>Impermeabilização de áreas críticas</x:v>
      </x:c>
      <x:c r="G36" s="75" t="str">
        <x:v>Manta líquida e tratamentos complementares.</x:v>
      </x:c>
      <x:c r="H36" s="74" t="str">
        <x:v>m²</x:v>
      </x:c>
      <x:c r="I36" s="74" t="n">
        <x:v>2100</x:v>
      </x:c>
      <x:c r="J36" s="74" t="str">
        <x:v>Marina Alves</x:v>
      </x:c>
      <x:c r="K36" s="75" t="str">
        <x:v>Teste de estanqueidade aprovado.</x:v>
      </x:c>
      <x:c r="L36" s="77" t="n">
        <x:v>38</x:v>
      </x:c>
      <x:c r="M36" s="77" t="n">
        <x:v>28</x:v>
      </x:c>
      <x:c r="N36" s="77" t="str"/>
      <x:c r="O36" s="77" t="n">
        <x:f>IF(OR(I36="",AND(L36="",M36="",N36="")),"",I36*(N(L36)+N(M36)+N(N36)))</x:f>
        <x:v>138600</x:v>
      </x:c>
      <x:c r="P36" s="76" t="n">
        <x:v>46300</x:v>
      </x:c>
      <x:c r="Q36" s="76" t="n">
        <x:v>46332</x:v>
      </x:c>
      <x:c r="R36" s="74" t="n">
        <x:v>25</x:v>
      </x:c>
      <x:c r="S36" s="74" t="str">
        <x:v>Quantidade</x:v>
      </x:c>
      <x:c r="T36" s="78" t="n">
        <x:v>0</x:v>
      </x:c>
      <x:c r="U36" s="74" t="n">
        <x:v>2100</x:v>
      </x:c>
      <x:c r="V36" s="74" t="str"/>
      <x:c r="W36" s="74" t="str">
        <x:v>m²</x:v>
      </x:c>
      <x:c r="X36" s="74" t="str">
        <x:v>1.4.2</x:v>
      </x:c>
      <x:c r="Y36" s="74" t="str">
        <x:v>Não iniciada</x:v>
      </x:c>
    </x:row>
    <x:row r="37">
      <x:c r="A37" s="74" t="str">
        <x:v>Revitalização do Complexo Administrativo - Aracaju</x:v>
      </x:c>
      <x:c r="B37" s="74" t="str">
        <x:v>1.5.1</x:v>
      </x:c>
      <x:c r="C37" s="74" t="n">
        <x:v>3</x:v>
      </x:c>
      <x:c r="D37" s="74" t="str">
        <x:v>Tarefa</x:v>
      </x:c>
      <x:c r="E37" s="74" t="str">
        <x:v>1.5</x:v>
      </x:c>
      <x:c r="F37" s="74" t="str">
        <x:v>Adequação de quadros elétricos</x:v>
      </x:c>
      <x:c r="G37" s="75" t="str">
        <x:v>Revisão, substituição e identificação de quadros e proteções.</x:v>
      </x:c>
      <x:c r="H37" s="74" t="str"/>
      <x:c r="I37" s="74" t="str"/>
      <x:c r="J37" s="74" t="str">
        <x:v>Paulo Reis</x:v>
      </x:c>
      <x:c r="K37" s="75" t="str">
        <x:v>Ensaios elétricos, identificação e documentação aprovados.</x:v>
      </x:c>
      <x:c r="L37" s="77" t="str"/>
      <x:c r="M37" s="77" t="str"/>
      <x:c r="N37" s="77" t="str"/>
      <x:c r="O37" s="77" t="str">
        <x:f>IF(OR(I37="",AND(L37="",M37="",N37="")),"",I37*(N(L37)+N(M37)+N(N37)))</x:f>
      </x:c>
      <x:c r="P37" s="76" t="n">
        <x:v>46266</x:v>
      </x:c>
      <x:c r="Q37" s="76" t="n">
        <x:v>46297</x:v>
      </x:c>
      <x:c r="R37" s="74" t="n">
        <x:v>24</x:v>
      </x:c>
      <x:c r="S37" s="74" t="str">
        <x:v>Percentual</x:v>
      </x:c>
      <x:c r="T37" s="78" t="n">
        <x:v>45</x:v>
      </x:c>
      <x:c r="U37" s="74" t="str"/>
      <x:c r="V37" s="74" t="str"/>
      <x:c r="W37" s="74" t="str"/>
      <x:c r="X37" s="74" t="str">
        <x:v>1.2.3</x:v>
      </x:c>
      <x:c r="Y37" s="74" t="str">
        <x:v>Em andamento</x:v>
      </x:c>
    </x:row>
    <x:row r="38">
      <x:c r="A38" s="74" t="str">
        <x:v>Revitalização do Complexo Administrativo - Aracaju</x:v>
      </x:c>
      <x:c r="B38" s="74" t="str">
        <x:v>1.5.2</x:v>
      </x:c>
      <x:c r="C38" s="74" t="n">
        <x:v>3</x:v>
      </x:c>
      <x:c r="D38" s="74" t="str">
        <x:v>Tarefa</x:v>
      </x:c>
      <x:c r="E38" s="74" t="str">
        <x:v>1.5</x:v>
      </x:c>
      <x:c r="F38" s="74" t="str">
        <x:v>Distribuição elétrica, cabos e eletrodutos</x:v>
      </x:c>
      <x:c r="G38" s="75" t="str">
        <x:v>Substituição/adequação dos circuitos de distribuição.</x:v>
      </x:c>
      <x:c r="H38" s="74" t="str">
        <x:v>m</x:v>
      </x:c>
      <x:c r="I38" s="74" t="n">
        <x:v>4200</x:v>
      </x:c>
      <x:c r="J38" s="74" t="str">
        <x:v>Paulo Reis</x:v>
      </x:c>
      <x:c r="K38" s="75" t="str">
        <x:v>Continuidade, isolação e identificação aprovadas.</x:v>
      </x:c>
      <x:c r="L38" s="77" t="n">
        <x:v>32</x:v>
      </x:c>
      <x:c r="M38" s="77" t="n">
        <x:v>18</x:v>
      </x:c>
      <x:c r="N38" s="77" t="str"/>
      <x:c r="O38" s="77" t="n">
        <x:f>IF(OR(I38="",AND(L38="",M38="",N38="")),"",I38*(N(L38)+N(M38)+N(N38)))</x:f>
        <x:v>210000</x:v>
      </x:c>
      <x:c r="P38" s="76" t="n">
        <x:v>46279</x:v>
      </x:c>
      <x:c r="Q38" s="76" t="n">
        <x:v>46339</x:v>
      </x:c>
      <x:c r="R38" s="74" t="n">
        <x:v>45</x:v>
      </x:c>
      <x:c r="S38" s="74" t="str">
        <x:v>Quantidade</x:v>
      </x:c>
      <x:c r="T38" s="78" t="n">
        <x:v>30</x:v>
      </x:c>
      <x:c r="U38" s="74" t="n">
        <x:v>4200</x:v>
      </x:c>
      <x:c r="V38" s="74" t="n">
        <x:v>1260</x:v>
      </x:c>
      <x:c r="W38" s="74" t="str">
        <x:v>m</x:v>
      </x:c>
      <x:c r="X38" s="74" t="str">
        <x:v>1.5.1</x:v>
      </x:c>
      <x:c r="Y38" s="74" t="str">
        <x:v>Em andamento</x:v>
      </x:c>
    </x:row>
    <x:row r="39">
      <x:c r="A39" s="74" t="str">
        <x:v>Revitalização do Complexo Administrativo - Aracaju</x:v>
      </x:c>
      <x:c r="B39" s="74" t="str">
        <x:v>1.5.3</x:v>
      </x:c>
      <x:c r="C39" s="74" t="n">
        <x:v>3</x:v>
      </x:c>
      <x:c r="D39" s="74" t="str">
        <x:v>Tarefa</x:v>
      </x:c>
      <x:c r="E39" s="74" t="str">
        <x:v>1.5</x:v>
      </x:c>
      <x:c r="F39" s="74" t="str">
        <x:v>Substituição por luminárias LED</x:v>
      </x:c>
      <x:c r="G39" s="75" t="str">
        <x:v>Retirada, instalação, testes e comissionamento das luminárias.</x:v>
      </x:c>
      <x:c r="H39" s="74" t="str">
        <x:v>un</x:v>
      </x:c>
      <x:c r="I39" s="74" t="n">
        <x:v>380</x:v>
      </x:c>
      <x:c r="J39" s="74" t="str">
        <x:v>Paulo Reis</x:v>
      </x:c>
      <x:c r="K39" s="75" t="str">
        <x:v>100% dos pontos funcionando e iluminância verificada.</x:v>
      </x:c>
      <x:c r="L39" s="77" t="n">
        <x:v>320</x:v>
      </x:c>
      <x:c r="M39" s="77" t="n">
        <x:v>65</x:v>
      </x:c>
      <x:c r="N39" s="77" t="str"/>
      <x:c r="O39" s="77" t="n">
        <x:f>IF(OR(I39="",AND(L39="",M39="",N39="")),"",I39*(N(L39)+N(M39)+N(N39)))</x:f>
        <x:v>146300</x:v>
      </x:c>
      <x:c r="P39" s="76" t="n">
        <x:v>46314</x:v>
      </x:c>
      <x:c r="Q39" s="76" t="n">
        <x:v>46353</x:v>
      </x:c>
      <x:c r="R39" s="74" t="n">
        <x:v>30</x:v>
      </x:c>
      <x:c r="S39" s="74" t="str">
        <x:v>Quantidade</x:v>
      </x:c>
      <x:c r="T39" s="78" t="n">
        <x:v>10</x:v>
      </x:c>
      <x:c r="U39" s="74" t="n">
        <x:v>380</x:v>
      </x:c>
      <x:c r="V39" s="74" t="n">
        <x:v>38</x:v>
      </x:c>
      <x:c r="W39" s="74" t="str">
        <x:v>un</x:v>
      </x:c>
      <x:c r="X39" s="74" t="str">
        <x:v>1.5.2</x:v>
      </x:c>
      <x:c r="Y39" s="74" t="str">
        <x:v>Em andamento</x:v>
      </x:c>
    </x:row>
    <x:row r="40">
      <x:c r="A40" s="74" t="str">
        <x:v>Revitalização do Complexo Administrativo - Aracaju</x:v>
      </x:c>
      <x:c r="B40" s="74" t="str">
        <x:v>1.5.4</x:v>
      </x:c>
      <x:c r="C40" s="74" t="n">
        <x:v>3</x:v>
      </x:c>
      <x:c r="D40" s="74" t="str">
        <x:v>Tarefa</x:v>
      </x:c>
      <x:c r="E40" s="74" t="str">
        <x:v>1.5</x:v>
      </x:c>
      <x:c r="F40" s="74" t="str">
        <x:v>Aterramento, equipotencialização e SPDA</x:v>
      </x:c>
      <x:c r="G40" s="75" t="str">
        <x:v>Revisão de aterramento e sistema de proteção contra descargas.</x:v>
      </x:c>
      <x:c r="H40" s="74" t="str"/>
      <x:c r="I40" s="74" t="str"/>
      <x:c r="J40" s="74" t="str">
        <x:v>Paulo Reis</x:v>
      </x:c>
      <x:c r="K40" s="75" t="str">
        <x:v>Medições e laudos dentro dos limites especificados.</x:v>
      </x:c>
      <x:c r="L40" s="77" t="str"/>
      <x:c r="M40" s="77" t="str"/>
      <x:c r="N40" s="77" t="str"/>
      <x:c r="O40" s="77" t="str">
        <x:f>IF(OR(I40="",AND(L40="",M40="",N40="")),"",I40*(N(L40)+N(M40)+N(N40)))</x:f>
      </x:c>
      <x:c r="P40" s="76" t="n">
        <x:v>46335</x:v>
      </x:c>
      <x:c r="Q40" s="76" t="n">
        <x:v>46360</x:v>
      </x:c>
      <x:c r="R40" s="74" t="n">
        <x:v>20</x:v>
      </x:c>
      <x:c r="S40" s="74" t="str">
        <x:v>Percentual</x:v>
      </x:c>
      <x:c r="T40" s="78" t="n">
        <x:v>0</x:v>
      </x:c>
      <x:c r="U40" s="74" t="str"/>
      <x:c r="V40" s="74" t="str"/>
      <x:c r="W40" s="74" t="str"/>
      <x:c r="X40" s="74" t="str">
        <x:v>1.5.2</x:v>
      </x:c>
      <x:c r="Y40" s="74" t="str">
        <x:v>Não iniciada</x:v>
      </x:c>
    </x:row>
    <x:row r="41">
      <x:c r="A41" s="74" t="str">
        <x:v>Revitalização do Complexo Administrativo - Aracaju</x:v>
      </x:c>
      <x:c r="B41" s="74" t="str">
        <x:v>1.6.1</x:v>
      </x:c>
      <x:c r="C41" s="74" t="n">
        <x:v>3</x:v>
      </x:c>
      <x:c r="D41" s="74" t="str">
        <x:v>Tarefa</x:v>
      </x:c>
      <x:c r="E41" s="74" t="str">
        <x:v>1.6</x:v>
      </x:c>
      <x:c r="F41" s="74" t="str">
        <x:v>Adequação da rede de água</x:v>
      </x:c>
      <x:c r="G41" s="75" t="str">
        <x:v>Substituição e adequação das tubulações de água.</x:v>
      </x:c>
      <x:c r="H41" s="74" t="str">
        <x:v>m</x:v>
      </x:c>
      <x:c r="I41" s="74" t="n">
        <x:v>880</x:v>
      </x:c>
      <x:c r="J41" s="74" t="str">
        <x:v>Rafael Nunes</x:v>
      </x:c>
      <x:c r="K41" s="75" t="str">
        <x:v>Teste hidrostático aprovado sem vazamentos.</x:v>
      </x:c>
      <x:c r="L41" s="77" t="n">
        <x:v>28</x:v>
      </x:c>
      <x:c r="M41" s="77" t="n">
        <x:v>24</x:v>
      </x:c>
      <x:c r="N41" s="77" t="str"/>
      <x:c r="O41" s="77" t="n">
        <x:f>IF(OR(I41="",AND(L41="",M41="",N41="")),"",I41*(N(L41)+N(M41)+N(N41)))</x:f>
        <x:v>45760</x:v>
      </x:c>
      <x:c r="P41" s="76" t="n">
        <x:v>46272</x:v>
      </x:c>
      <x:c r="Q41" s="76" t="n">
        <x:v>46311</x:v>
      </x:c>
      <x:c r="R41" s="74" t="n">
        <x:v>30</x:v>
      </x:c>
      <x:c r="S41" s="74" t="str">
        <x:v>Quantidade</x:v>
      </x:c>
      <x:c r="T41" s="78" t="n">
        <x:v>45</x:v>
      </x:c>
      <x:c r="U41" s="74" t="n">
        <x:v>880</x:v>
      </x:c>
      <x:c r="V41" s="74" t="n">
        <x:v>396</x:v>
      </x:c>
      <x:c r="W41" s="74" t="str">
        <x:v>m</x:v>
      </x:c>
      <x:c r="X41" s="74" t="str">
        <x:v>1.2.3</x:v>
      </x:c>
      <x:c r="Y41" s="74" t="str">
        <x:v>Em andamento</x:v>
      </x:c>
    </x:row>
    <x:row r="42">
      <x:c r="A42" s="74" t="str">
        <x:v>Revitalização do Complexo Administrativo - Aracaju</x:v>
      </x:c>
      <x:c r="B42" s="74" t="str">
        <x:v>1.6.2</x:v>
      </x:c>
      <x:c r="C42" s="74" t="n">
        <x:v>3</x:v>
      </x:c>
      <x:c r="D42" s="74" t="str">
        <x:v>Tarefa</x:v>
      </x:c>
      <x:c r="E42" s="74" t="str">
        <x:v>1.6</x:v>
      </x:c>
      <x:c r="F42" s="74" t="str">
        <x:v>Adequação da rede sanitária</x:v>
      </x:c>
      <x:c r="G42" s="75" t="str">
        <x:v>Correções de ramais, prumadas e conexões.</x:v>
      </x:c>
      <x:c r="H42" s="74" t="str">
        <x:v>m</x:v>
      </x:c>
      <x:c r="I42" s="74" t="n">
        <x:v>620</x:v>
      </x:c>
      <x:c r="J42" s="74" t="str">
        <x:v>Rafael Nunes</x:v>
      </x:c>
      <x:c r="K42" s="75" t="str">
        <x:v>Teste de estanqueidade e escoamento aprovados.</x:v>
      </x:c>
      <x:c r="L42" s="77" t="n">
        <x:v>36</x:v>
      </x:c>
      <x:c r="M42" s="77" t="n">
        <x:v>27</x:v>
      </x:c>
      <x:c r="N42" s="77" t="str"/>
      <x:c r="O42" s="77" t="n">
        <x:f>IF(OR(I42="",AND(L42="",M42="",N42="")),"",I42*(N(L42)+N(M42)+N(N42)))</x:f>
        <x:v>39060</x:v>
      </x:c>
      <x:c r="P42" s="76" t="n">
        <x:v>46286</x:v>
      </x:c>
      <x:c r="Q42" s="76" t="n">
        <x:v>46332</x:v>
      </x:c>
      <x:c r="R42" s="74" t="n">
        <x:v>35</x:v>
      </x:c>
      <x:c r="S42" s="74" t="str">
        <x:v>Quantidade</x:v>
      </x:c>
      <x:c r="T42" s="78" t="n">
        <x:v>30</x:v>
      </x:c>
      <x:c r="U42" s="74" t="n">
        <x:v>620</x:v>
      </x:c>
      <x:c r="V42" s="74" t="n">
        <x:v>186</x:v>
      </x:c>
      <x:c r="W42" s="74" t="str">
        <x:v>m</x:v>
      </x:c>
      <x:c r="X42" s="74" t="str">
        <x:v>1.6.1</x:v>
      </x:c>
      <x:c r="Y42" s="74" t="str">
        <x:v>Em andamento</x:v>
      </x:c>
    </x:row>
    <x:row r="43">
      <x:c r="A43" s="74" t="str">
        <x:v>Revitalização do Complexo Administrativo - Aracaju</x:v>
      </x:c>
      <x:c r="B43" s="74" t="str">
        <x:v>1.6.3</x:v>
      </x:c>
      <x:c r="C43" s="74" t="n">
        <x:v>3</x:v>
      </x:c>
      <x:c r="D43" s="74" t="str">
        <x:v>Tarefa</x:v>
      </x:c>
      <x:c r="E43" s="74" t="str">
        <x:v>1.6</x:v>
      </x:c>
      <x:c r="F43" s="74" t="str">
        <x:v>Louças, metais e acessórios</x:v>
      </x:c>
      <x:c r="G43" s="75" t="str">
        <x:v>Instalação e substituição de aparelhos e acessórios.</x:v>
      </x:c>
      <x:c r="H43" s="74" t="str">
        <x:v>un</x:v>
      </x:c>
      <x:c r="I43" s="74" t="n">
        <x:v>96</x:v>
      </x:c>
      <x:c r="J43" s="74" t="str">
        <x:v>Rafael Nunes</x:v>
      </x:c>
      <x:c r="K43" s="75" t="str">
        <x:v>Funcionamento, vedação e acabamento aprovados.</x:v>
      </x:c>
      <x:c r="L43" s="77" t="n">
        <x:v>640</x:v>
      </x:c>
      <x:c r="M43" s="77" t="n">
        <x:v>95</x:v>
      </x:c>
      <x:c r="N43" s="77" t="str"/>
      <x:c r="O43" s="77" t="n">
        <x:f>IF(OR(I43="",AND(L43="",M43="",N43="")),"",I43*(N(L43)+N(M43)+N(N43)))</x:f>
        <x:v>70560</x:v>
      </x:c>
      <x:c r="P43" s="76" t="n">
        <x:v>46335</x:v>
      </x:c>
      <x:c r="Q43" s="76" t="n">
        <x:v>46360</x:v>
      </x:c>
      <x:c r="R43" s="74" t="n">
        <x:v>20</x:v>
      </x:c>
      <x:c r="S43" s="74" t="str">
        <x:v>Quantidade</x:v>
      </x:c>
      <x:c r="T43" s="78" t="n">
        <x:v>0</x:v>
      </x:c>
      <x:c r="U43" s="74" t="n">
        <x:v>96</x:v>
      </x:c>
      <x:c r="V43" s="74" t="str"/>
      <x:c r="W43" s="74" t="str">
        <x:v>un</x:v>
      </x:c>
      <x:c r="X43" s="74" t="str">
        <x:v>1.6.2</x:v>
      </x:c>
      <x:c r="Y43" s="74" t="str">
        <x:v>Não iniciada</x:v>
      </x:c>
    </x:row>
    <x:row r="44">
      <x:c r="A44" s="74" t="str">
        <x:v>Revitalização do Complexo Administrativo - Aracaju</x:v>
      </x:c>
      <x:c r="B44" s="74" t="str">
        <x:v>1.7.1</x:v>
      </x:c>
      <x:c r="C44" s="74" t="n">
        <x:v>3</x:v>
      </x:c>
      <x:c r="D44" s="74" t="str">
        <x:v>Tarefa</x:v>
      </x:c>
      <x:c r="E44" s="74" t="str">
        <x:v>1.7</x:v>
      </x:c>
      <x:c r="F44" s="74" t="str">
        <x:v>Recomposição de alvenarias e vedações</x:v>
      </x:c>
      <x:c r="G44" s="75" t="str">
        <x:v>Fechamentos, reparos e regularizações.</x:v>
      </x:c>
      <x:c r="H44" s="74" t="str">
        <x:v>m²</x:v>
      </x:c>
      <x:c r="I44" s="74" t="n">
        <x:v>1350</x:v>
      </x:c>
      <x:c r="J44" s="74" t="str">
        <x:v>Marcos Lima</x:v>
      </x:c>
      <x:c r="K44" s="75" t="str">
        <x:v>Prumo, nível e acabamento dentro das tolerâncias.</x:v>
      </x:c>
      <x:c r="L44" s="77" t="n">
        <x:v>58</x:v>
      </x:c>
      <x:c r="M44" s="77" t="n">
        <x:v>45</x:v>
      </x:c>
      <x:c r="N44" s="77" t="str"/>
      <x:c r="O44" s="77" t="n">
        <x:f>IF(OR(I44="",AND(L44="",M44="",N44="")),"",I44*(N(L44)+N(M44)+N(N44)))</x:f>
        <x:v>139050</x:v>
      </x:c>
      <x:c r="P44" s="76" t="n">
        <x:v>46293</x:v>
      </x:c>
      <x:c r="Q44" s="76" t="n">
        <x:v>46332</x:v>
      </x:c>
      <x:c r="R44" s="74" t="n">
        <x:v>30</x:v>
      </x:c>
      <x:c r="S44" s="74" t="str">
        <x:v>Quantidade</x:v>
      </x:c>
      <x:c r="T44" s="78" t="n">
        <x:v>20</x:v>
      </x:c>
      <x:c r="U44" s="74" t="n">
        <x:v>1350</x:v>
      </x:c>
      <x:c r="V44" s="74" t="n">
        <x:v>270</x:v>
      </x:c>
      <x:c r="W44" s="74" t="str">
        <x:v>m²</x:v>
      </x:c>
      <x:c r="X44" s="74" t="str">
        <x:v>1.2.3</x:v>
      </x:c>
      <x:c r="Y44" s="74" t="str">
        <x:v>Em andamento</x:v>
      </x:c>
    </x:row>
    <x:row r="45">
      <x:c r="A45" s="74" t="str">
        <x:v>Revitalização do Complexo Administrativo - Aracaju</x:v>
      </x:c>
      <x:c r="B45" s="74" t="str">
        <x:v>1.7.2</x:v>
      </x:c>
      <x:c r="C45" s="74" t="n">
        <x:v>3</x:v>
      </x:c>
      <x:c r="D45" s="74" t="str">
        <x:v>Tarefa</x:v>
      </x:c>
      <x:c r="E45" s="74" t="str">
        <x:v>1.7</x:v>
      </x:c>
      <x:c r="F45" s="74" t="str">
        <x:v>Revestimentos de paredes</x:v>
      </x:c>
      <x:c r="G45" s="75" t="str">
        <x:v>Chapisco, emboço/reboco e revestimentos especificados.</x:v>
      </x:c>
      <x:c r="H45" s="74" t="str">
        <x:v>m²</x:v>
      </x:c>
      <x:c r="I45" s="74" t="n">
        <x:v>4200</x:v>
      </x:c>
      <x:c r="J45" s="74" t="str">
        <x:v>Marina Alves</x:v>
      </x:c>
      <x:c r="K45" s="75" t="str">
        <x:v>Planicidade, aderência e acabamento aprovados.</x:v>
      </x:c>
      <x:c r="L45" s="77" t="n">
        <x:v>44</x:v>
      </x:c>
      <x:c r="M45" s="77" t="n">
        <x:v>38</x:v>
      </x:c>
      <x:c r="N45" s="77" t="str"/>
      <x:c r="O45" s="77" t="n">
        <x:f>IF(OR(I45="",AND(L45="",M45="",N45="")),"",I45*(N(L45)+N(M45)+N(N45)))</x:f>
        <x:v>344400</x:v>
      </x:c>
      <x:c r="P45" s="76" t="n">
        <x:v>46314</x:v>
      </x:c>
      <x:c r="Q45" s="76" t="n">
        <x:v>46360</x:v>
      </x:c>
      <x:c r="R45" s="74" t="n">
        <x:v>35</x:v>
      </x:c>
      <x:c r="S45" s="74" t="str">
        <x:v>Quantidade</x:v>
      </x:c>
      <x:c r="T45" s="78" t="n">
        <x:v>10</x:v>
      </x:c>
      <x:c r="U45" s="74" t="n">
        <x:v>4200</x:v>
      </x:c>
      <x:c r="V45" s="74" t="n">
        <x:v>420</x:v>
      </x:c>
      <x:c r="W45" s="74" t="str">
        <x:v>m²</x:v>
      </x:c>
      <x:c r="X45" s="74" t="str">
        <x:v>1.7.1</x:v>
      </x:c>
      <x:c r="Y45" s="74" t="str">
        <x:v>Em andamento</x:v>
      </x:c>
    </x:row>
    <x:row r="46">
      <x:c r="A46" s="74" t="str">
        <x:v>Revitalização do Complexo Administrativo - Aracaju</x:v>
      </x:c>
      <x:c r="B46" s="74" t="str">
        <x:v>1.7.3</x:v>
      </x:c>
      <x:c r="C46" s="74" t="n">
        <x:v>3</x:v>
      </x:c>
      <x:c r="D46" s="74" t="str">
        <x:v>Tarefa</x:v>
      </x:c>
      <x:c r="E46" s="74" t="str">
        <x:v>1.7</x:v>
      </x:c>
      <x:c r="F46" s="74" t="str">
        <x:v>Pisos e rodapés</x:v>
      </x:c>
      <x:c r="G46" s="75" t="str">
        <x:v>Regularização e execução dos revestimentos de piso.</x:v>
      </x:c>
      <x:c r="H46" s="74" t="str">
        <x:v>m²</x:v>
      </x:c>
      <x:c r="I46" s="74" t="n">
        <x:v>5900</x:v>
      </x:c>
      <x:c r="J46" s="74" t="str">
        <x:v>Marina Alves</x:v>
      </x:c>
      <x:c r="K46" s="75" t="str">
        <x:v>Nível, paginação, juntas e acabamento aprovados.</x:v>
      </x:c>
      <x:c r="L46" s="77" t="n">
        <x:v>110</x:v>
      </x:c>
      <x:c r="M46" s="77" t="n">
        <x:v>55</x:v>
      </x:c>
      <x:c r="N46" s="77" t="str"/>
      <x:c r="O46" s="77" t="n">
        <x:f>IF(OR(I46="",AND(L46="",M46="",N46="")),"",I46*(N(L46)+N(M46)+N(N46)))</x:f>
        <x:v>973500</x:v>
      </x:c>
      <x:c r="P46" s="76" t="n">
        <x:v>46335</x:v>
      </x:c>
      <x:c r="Q46" s="76" t="n">
        <x:v>46374</x:v>
      </x:c>
      <x:c r="R46" s="74" t="n">
        <x:v>30</x:v>
      </x:c>
      <x:c r="S46" s="74" t="str">
        <x:v>Quantidade</x:v>
      </x:c>
      <x:c r="T46" s="78" t="n">
        <x:v>0</x:v>
      </x:c>
      <x:c r="U46" s="74" t="n">
        <x:v>5900</x:v>
      </x:c>
      <x:c r="V46" s="74" t="str"/>
      <x:c r="W46" s="74" t="str">
        <x:v>m²</x:v>
      </x:c>
      <x:c r="X46" s="74" t="str">
        <x:v>1.7.1</x:v>
      </x:c>
      <x:c r="Y46" s="74" t="str">
        <x:v>Não iniciada</x:v>
      </x:c>
    </x:row>
    <x:row r="47">
      <x:c r="A47" s="74" t="str">
        <x:v>Revitalização do Complexo Administrativo - Aracaju</x:v>
      </x:c>
      <x:c r="B47" s="74" t="str">
        <x:v>1.7.4</x:v>
      </x:c>
      <x:c r="C47" s="74" t="n">
        <x:v>3</x:v>
      </x:c>
      <x:c r="D47" s="74" t="str">
        <x:v>Tarefa</x:v>
      </x:c>
      <x:c r="E47" s="74" t="str">
        <x:v>1.7</x:v>
      </x:c>
      <x:c r="F47" s="74" t="str">
        <x:v>Forros e acabamentos de teto</x:v>
      </x:c>
      <x:c r="G47" s="75" t="str">
        <x:v>Forro, sancas, arremates e inspeções.</x:v>
      </x:c>
      <x:c r="H47" s="74" t="str">
        <x:v>m²</x:v>
      </x:c>
      <x:c r="I47" s="74" t="n">
        <x:v>3400</x:v>
      </x:c>
      <x:c r="J47" s="74" t="str">
        <x:v>Marina Alves</x:v>
      </x:c>
      <x:c r="K47" s="75" t="str">
        <x:v>Nivelamento, modulação e acabamento aprovados.</x:v>
      </x:c>
      <x:c r="L47" s="77" t="n">
        <x:v>72</x:v>
      </x:c>
      <x:c r="M47" s="77" t="n">
        <x:v>48</x:v>
      </x:c>
      <x:c r="N47" s="77" t="str"/>
      <x:c r="O47" s="77" t="n">
        <x:f>IF(OR(I47="",AND(L47="",M47="",N47="")),"",I47*(N(L47)+N(M47)+N(N47)))</x:f>
        <x:v>408000</x:v>
      </x:c>
      <x:c r="P47" s="76" t="n">
        <x:v>46342</x:v>
      </x:c>
      <x:c r="Q47" s="76" t="n">
        <x:v>46395</x:v>
      </x:c>
      <x:c r="R47" s="74" t="n">
        <x:v>40</x:v>
      </x:c>
      <x:c r="S47" s="74" t="str">
        <x:v>Quantidade</x:v>
      </x:c>
      <x:c r="T47" s="78" t="n">
        <x:v>0</x:v>
      </x:c>
      <x:c r="U47" s="74" t="n">
        <x:v>3400</x:v>
      </x:c>
      <x:c r="V47" s="74" t="str"/>
      <x:c r="W47" s="74" t="str">
        <x:v>m²</x:v>
      </x:c>
      <x:c r="X47" s="74" t="str">
        <x:v>1.5.2</x:v>
      </x:c>
      <x:c r="Y47" s="74" t="str">
        <x:v>Não iniciada</x:v>
      </x:c>
    </x:row>
    <x:row r="48">
      <x:c r="A48" s="74" t="str">
        <x:v>Revitalização do Complexo Administrativo - Aracaju</x:v>
      </x:c>
      <x:c r="B48" s="74" t="str">
        <x:v>1.7.5</x:v>
      </x:c>
      <x:c r="C48" s="74" t="n">
        <x:v>3</x:v>
      </x:c>
      <x:c r="D48" s="74" t="str">
        <x:v>Tarefa</x:v>
      </x:c>
      <x:c r="E48" s="74" t="str">
        <x:v>1.7</x:v>
      </x:c>
      <x:c r="F48" s="74" t="str">
        <x:v>Esquadrias, portas e ferragens</x:v>
      </x:c>
      <x:c r="G48" s="75" t="str">
        <x:v>Recuperação/substituição de portas, janelas e ferragens.</x:v>
      </x:c>
      <x:c r="H48" s="74" t="str">
        <x:v>un</x:v>
      </x:c>
      <x:c r="I48" s="74" t="n">
        <x:v>164</x:v>
      </x:c>
      <x:c r="J48" s="74" t="str">
        <x:v>Marina Alves</x:v>
      </x:c>
      <x:c r="K48" s="75" t="str">
        <x:v>Funcionamento, estanqueidade e acabamento aprovados.</x:v>
      </x:c>
      <x:c r="L48" s="77" t="n">
        <x:v>1250</x:v>
      </x:c>
      <x:c r="M48" s="77" t="n">
        <x:v>210</x:v>
      </x:c>
      <x:c r="N48" s="77" t="str"/>
      <x:c r="O48" s="77" t="n">
        <x:f>IF(OR(I48="",AND(L48="",M48="",N48="")),"",I48*(N(L48)+N(M48)+N(N48)))</x:f>
        <x:v>239440</x:v>
      </x:c>
      <x:c r="P48" s="76" t="n">
        <x:v>46357</x:v>
      </x:c>
      <x:c r="Q48" s="76" t="n">
        <x:v>46409</x:v>
      </x:c>
      <x:c r="R48" s="74" t="n">
        <x:v>39</x:v>
      </x:c>
      <x:c r="S48" s="74" t="str">
        <x:v>Quantidade</x:v>
      </x:c>
      <x:c r="T48" s="78" t="n">
        <x:v>0</x:v>
      </x:c>
      <x:c r="U48" s="74" t="n">
        <x:v>164</x:v>
      </x:c>
      <x:c r="V48" s="74" t="str"/>
      <x:c r="W48" s="74" t="str">
        <x:v>un</x:v>
      </x:c>
      <x:c r="X48" s="74" t="str">
        <x:v>1.7.2</x:v>
      </x:c>
      <x:c r="Y48" s="74" t="str">
        <x:v>Não iniciada</x:v>
      </x:c>
    </x:row>
    <x:row r="49">
      <x:c r="A49" s="74" t="str">
        <x:v>Revitalização do Complexo Administrativo - Aracaju</x:v>
      </x:c>
      <x:c r="B49" s="74" t="str">
        <x:v>1.7.6</x:v>
      </x:c>
      <x:c r="C49" s="74" t="n">
        <x:v>3</x:v>
      </x:c>
      <x:c r="D49" s="74" t="str">
        <x:v>Tarefa</x:v>
      </x:c>
      <x:c r="E49" s="74" t="str">
        <x:v>1.7</x:v>
      </x:c>
      <x:c r="F49" s="74" t="str">
        <x:v>Pintura interna e externa</x:v>
      </x:c>
      <x:c r="G49" s="75" t="str">
        <x:v>Preparação, selador e acabamento conforme especificação.</x:v>
      </x:c>
      <x:c r="H49" s="74" t="str">
        <x:v>m²</x:v>
      </x:c>
      <x:c r="I49" s="74" t="n">
        <x:v>14200</x:v>
      </x:c>
      <x:c r="J49" s="74" t="str">
        <x:v>Marina Alves</x:v>
      </x:c>
      <x:c r="K49" s="75" t="str">
        <x:v>Cobertura, cor, textura e aderência aprovadas.</x:v>
      </x:c>
      <x:c r="L49" s="77" t="n">
        <x:v>24</x:v>
      </x:c>
      <x:c r="M49" s="77" t="n">
        <x:v>18</x:v>
      </x:c>
      <x:c r="N49" s="77" t="str"/>
      <x:c r="O49" s="77" t="n">
        <x:f>IF(OR(I49="",AND(L49="",M49="",N49="")),"",I49*(N(L49)+N(M49)+N(N49)))</x:f>
        <x:v>596400</x:v>
      </x:c>
      <x:c r="P49" s="76" t="n">
        <x:v>46363</x:v>
      </x:c>
      <x:c r="Q49" s="76" t="n">
        <x:v>46430</x:v>
      </x:c>
      <x:c r="R49" s="74" t="n">
        <x:v>50</x:v>
      </x:c>
      <x:c r="S49" s="74" t="str">
        <x:v>Quantidade</x:v>
      </x:c>
      <x:c r="T49" s="78" t="n">
        <x:v>0</x:v>
      </x:c>
      <x:c r="U49" s="74" t="n">
        <x:v>14200</x:v>
      </x:c>
      <x:c r="V49" s="74" t="str"/>
      <x:c r="W49" s="74" t="str">
        <x:v>m²</x:v>
      </x:c>
      <x:c r="X49" s="74" t="str">
        <x:v>1.7.2</x:v>
      </x:c>
      <x:c r="Y49" s="74" t="str">
        <x:v>Não iniciada</x:v>
      </x:c>
    </x:row>
    <x:row r="50">
      <x:c r="A50" s="74" t="str">
        <x:v>Revitalização do Complexo Administrativo - Aracaju</x:v>
      </x:c>
      <x:c r="B50" s="74" t="str">
        <x:v>1.8.1</x:v>
      </x:c>
      <x:c r="C50" s="74" t="n">
        <x:v>3</x:v>
      </x:c>
      <x:c r="D50" s="74" t="str">
        <x:v>Tarefa</x:v>
      </x:c>
      <x:c r="E50" s="74" t="str">
        <x:v>1.8</x:v>
      </x:c>
      <x:c r="F50" s="74" t="str">
        <x:v>Adequação de climatização e drenagem de condensado</x:v>
      </x:c>
      <x:c r="G50" s="75" t="str">
        <x:v>Revisão de equipamentos, linhas e drenos.</x:v>
      </x:c>
      <x:c r="H50" s="74" t="str">
        <x:v>un</x:v>
      </x:c>
      <x:c r="I50" s="74" t="n">
        <x:v>48</x:v>
      </x:c>
      <x:c r="J50" s="74" t="str">
        <x:v>Paulo Reis</x:v>
      </x:c>
      <x:c r="K50" s="75" t="str">
        <x:v>Operação, temperatura e drenagem verificadas.</x:v>
      </x:c>
      <x:c r="L50" s="77" t="n">
        <x:v>980</x:v>
      </x:c>
      <x:c r="M50" s="77" t="n">
        <x:v>340</x:v>
      </x:c>
      <x:c r="N50" s="77" t="str"/>
      <x:c r="O50" s="77" t="n">
        <x:f>IF(OR(I50="",AND(L50="",M50="",N50="")),"",I50*(N(L50)+N(M50)+N(N50)))</x:f>
        <x:v>63360</x:v>
      </x:c>
      <x:c r="P50" s="76" t="n">
        <x:v>46349</x:v>
      </x:c>
      <x:c r="Q50" s="76" t="n">
        <x:v>46402</x:v>
      </x:c>
      <x:c r="R50" s="74" t="n">
        <x:v>40</x:v>
      </x:c>
      <x:c r="S50" s="74" t="str">
        <x:v>Quantidade</x:v>
      </x:c>
      <x:c r="T50" s="78" t="n">
        <x:v>0</x:v>
      </x:c>
      <x:c r="U50" s="74" t="n">
        <x:v>48</x:v>
      </x:c>
      <x:c r="V50" s="74" t="str"/>
      <x:c r="W50" s="74" t="str">
        <x:v>un</x:v>
      </x:c>
      <x:c r="X50" s="74" t="str">
        <x:v>1.5.2</x:v>
      </x:c>
      <x:c r="Y50" s="74" t="str">
        <x:v>Não iniciada</x:v>
      </x:c>
    </x:row>
    <x:row r="51">
      <x:c r="A51" s="74" t="str">
        <x:v>Revitalização do Complexo Administrativo - Aracaju</x:v>
      </x:c>
      <x:c r="B51" s="74" t="str">
        <x:v>1.9.1</x:v>
      </x:c>
      <x:c r="C51" s="74" t="n">
        <x:v>3</x:v>
      </x:c>
      <x:c r="D51" s="74" t="str">
        <x:v>Tarefa</x:v>
      </x:c>
      <x:c r="E51" s="74" t="str">
        <x:v>1.9</x:v>
      </x:c>
      <x:c r="F51" s="74" t="str">
        <x:v>Testes integrados e comissionamento</x:v>
      </x:c>
      <x:c r="G51" s="75" t="str">
        <x:v>Testes integrados das instalações e sistemas.</x:v>
      </x:c>
      <x:c r="H51" s="74" t="str"/>
      <x:c r="I51" s="74" t="str"/>
      <x:c r="J51" s="74" t="str">
        <x:v>Carlos Mendes</x:v>
      </x:c>
      <x:c r="K51" s="75" t="str">
        <x:v>Protocolos assinados e pendências encerradas.</x:v>
      </x:c>
      <x:c r="L51" s="77" t="str"/>
      <x:c r="M51" s="77" t="str"/>
      <x:c r="N51" s="77" t="str"/>
      <x:c r="O51" s="77" t="str">
        <x:f>IF(OR(I51="",AND(L51="",M51="",N51="")),"",I51*(N(L51)+N(M51)+N(N51)))</x:f>
      </x:c>
      <x:c r="P51" s="76" t="n">
        <x:v>46419</x:v>
      </x:c>
      <x:c r="Q51" s="76" t="n">
        <x:v>46444</x:v>
      </x:c>
      <x:c r="R51" s="74" t="n">
        <x:v>20</x:v>
      </x:c>
      <x:c r="S51" s="74" t="str">
        <x:v>Percentual</x:v>
      </x:c>
      <x:c r="T51" s="78" t="n">
        <x:v>0</x:v>
      </x:c>
      <x:c r="U51" s="74" t="str"/>
      <x:c r="V51" s="74" t="str"/>
      <x:c r="W51" s="74" t="str"/>
      <x:c r="X51" s="74" t="str">
        <x:v>1.5.4,1.6.3,1.8.1</x:v>
      </x:c>
      <x:c r="Y51" s="74" t="str">
        <x:v>Não iniciada</x:v>
      </x:c>
    </x:row>
    <x:row r="52">
      <x:c r="A52" s="74" t="str">
        <x:v>Revitalização do Complexo Administrativo - Aracaju</x:v>
      </x:c>
      <x:c r="B52" s="74" t="str">
        <x:v>1.9.2</x:v>
      </x:c>
      <x:c r="C52" s="74" t="n">
        <x:v>3</x:v>
      </x:c>
      <x:c r="D52" s="74" t="str">
        <x:v>Tarefa</x:v>
      </x:c>
      <x:c r="E52" s="74" t="str">
        <x:v>1.9</x:v>
      </x:c>
      <x:c r="F52" s="74" t="str">
        <x:v>As built, manuais e documentação final</x:v>
      </x:c>
      <x:c r="G52" s="75" t="str">
        <x:v>Documentação final da obra, registros e manuais.</x:v>
      </x:c>
      <x:c r="H52" s="74" t="str"/>
      <x:c r="I52" s="74" t="str"/>
      <x:c r="J52" s="74" t="str">
        <x:v>Ana Souza</x:v>
      </x:c>
      <x:c r="K52" s="75" t="str">
        <x:v>Dossiê completo e aprovado.</x:v>
      </x:c>
      <x:c r="L52" s="77" t="str"/>
      <x:c r="M52" s="77" t="str"/>
      <x:c r="N52" s="77" t="str"/>
      <x:c r="O52" s="77" t="str">
        <x:f>IF(OR(I52="",AND(L52="",M52="",N52="")),"",I52*(N(L52)+N(M52)+N(N52)))</x:f>
      </x:c>
      <x:c r="P52" s="76" t="n">
        <x:v>46433</x:v>
      </x:c>
      <x:c r="Q52" s="76" t="n">
        <x:v>46458</x:v>
      </x:c>
      <x:c r="R52" s="74" t="n">
        <x:v>20</x:v>
      </x:c>
      <x:c r="S52" s="74" t="str">
        <x:v>Percentual</x:v>
      </x:c>
      <x:c r="T52" s="78" t="n">
        <x:v>0</x:v>
      </x:c>
      <x:c r="U52" s="74" t="str"/>
      <x:c r="V52" s="74" t="str"/>
      <x:c r="W52" s="74" t="str"/>
      <x:c r="X52" s="74" t="str">
        <x:v>1.9.1</x:v>
      </x:c>
      <x:c r="Y52" s="74" t="str">
        <x:v>Não iniciada</x:v>
      </x:c>
    </x:row>
    <x:row r="53">
      <x:c r="A53" s="74" t="str">
        <x:v>Revitalização do Complexo Administrativo - Aracaju</x:v>
      </x:c>
      <x:c r="B53" s="74" t="str">
        <x:v>1.9.3</x:v>
      </x:c>
      <x:c r="C53" s="74" t="n">
        <x:v>3</x:v>
      </x:c>
      <x:c r="D53" s="74" t="str">
        <x:v>Tarefa</x:v>
      </x:c>
      <x:c r="E53" s="74" t="str">
        <x:v>1.9</x:v>
      </x:c>
      <x:c r="F53" s="74" t="str">
        <x:v>Limpeza final e desmobilização</x:v>
      </x:c>
      <x:c r="G53" s="75" t="str">
        <x:v>Limpeza técnica, retirada de instalações provisórias e recomposição.</x:v>
      </x:c>
      <x:c r="H53" s="74" t="str"/>
      <x:c r="I53" s="74" t="str"/>
      <x:c r="J53" s="74" t="str">
        <x:v>Marcos Lima</x:v>
      </x:c>
      <x:c r="K53" s="75" t="str">
        <x:v>Áreas liberadas sem resíduos e canteiro desmobilizado.</x:v>
      </x:c>
      <x:c r="L53" s="77" t="str"/>
      <x:c r="M53" s="77" t="str"/>
      <x:c r="N53" s="77" t="str"/>
      <x:c r="O53" s="77" t="str">
        <x:f>IF(OR(I53="",AND(L53="",M53="",N53="")),"",I53*(N(L53)+N(M53)+N(N53)))</x:f>
      </x:c>
      <x:c r="P53" s="76" t="n">
        <x:v>46454</x:v>
      </x:c>
      <x:c r="Q53" s="76" t="n">
        <x:v>46465</x:v>
      </x:c>
      <x:c r="R53" s="74" t="n">
        <x:v>10</x:v>
      </x:c>
      <x:c r="S53" s="74" t="str">
        <x:v>Percentual</x:v>
      </x:c>
      <x:c r="T53" s="78" t="n">
        <x:v>0</x:v>
      </x:c>
      <x:c r="U53" s="74" t="str"/>
      <x:c r="V53" s="74" t="str"/>
      <x:c r="W53" s="74" t="str"/>
      <x:c r="X53" s="74" t="str">
        <x:v>1.7.6</x:v>
      </x:c>
      <x:c r="Y53" s="74" t="str">
        <x:v>Não iniciada</x:v>
      </x:c>
    </x:row>
    <x:row r="54">
      <x:c r="A54" s="74" t="str">
        <x:v>Revitalização do Complexo Administrativo - Aracaju</x:v>
      </x:c>
      <x:c r="B54" s="74" t="str">
        <x:v>1.9.4</x:v>
      </x:c>
      <x:c r="C54" s="74" t="n">
        <x:v>3</x:v>
      </x:c>
      <x:c r="D54" s="74" t="str">
        <x:v>Tarefa</x:v>
      </x:c>
      <x:c r="E54" s="74" t="str">
        <x:v>1.9</x:v>
      </x:c>
      <x:c r="F54" s="74" t="str">
        <x:v>Entrega técnica e aceite</x:v>
      </x:c>
      <x:c r="G54" s="75" t="str">
        <x:v>Vistoria final, termo de recebimento e entrega.</x:v>
      </x:c>
      <x:c r="H54" s="74" t="str"/>
      <x:c r="I54" s="74" t="str"/>
      <x:c r="J54" s="74" t="str">
        <x:v>Carlos Mendes</x:v>
      </x:c>
      <x:c r="K54" s="75" t="str">
        <x:v>Aceite formal do cliente sem pendências impeditivas.</x:v>
      </x:c>
      <x:c r="L54" s="77" t="str"/>
      <x:c r="M54" s="77" t="str"/>
      <x:c r="N54" s="77" t="str"/>
      <x:c r="O54" s="77" t="str">
        <x:f>IF(OR(I54="",AND(L54="",M54="",N54="")),"",I54*(N(L54)+N(M54)+N(N54)))</x:f>
      </x:c>
      <x:c r="P54" s="76" t="n">
        <x:v>46468</x:v>
      </x:c>
      <x:c r="Q54" s="76" t="n">
        <x:v>46477</x:v>
      </x:c>
      <x:c r="R54" s="74" t="n">
        <x:v>8</x:v>
      </x:c>
      <x:c r="S54" s="74" t="str">
        <x:v>Percentual</x:v>
      </x:c>
      <x:c r="T54" s="78" t="n">
        <x:v>0</x:v>
      </x:c>
      <x:c r="U54" s="74" t="str"/>
      <x:c r="V54" s="74" t="str"/>
      <x:c r="W54" s="74" t="str"/>
      <x:c r="X54" s="74" t="str">
        <x:v>1.9.2,1.9.3</x:v>
      </x:c>
      <x:c r="Y54" s="74" t="str">
        <x:v>Não iniciada</x:v>
      </x:c>
    </x:row>
    <x:row r="55">
      <x:c r="A55" s="74" t="str">
        <x:v>Pavimentação Rodoviária SE-100 - Trecho Demonstrativo</x:v>
      </x:c>
      <x:c r="B55" s="74" t="str">
        <x:v>2.1.1</x:v>
      </x:c>
      <x:c r="C55" s="74" t="n">
        <x:v>3</x:v>
      </x:c>
      <x:c r="D55" s="74" t="str">
        <x:v>Tarefa</x:v>
      </x:c>
      <x:c r="E55" s="74" t="str">
        <x:v>2.1</x:v>
      </x:c>
      <x:c r="F55" s="74" t="str">
        <x:v>Planejamento executivo e plano de ataque</x:v>
      </x:c>
      <x:c r="G55" s="75" t="str">
        <x:v>Sequenciamento de frentes, logística, metas e controle.</x:v>
      </x:c>
      <x:c r="H55" s="74" t="str"/>
      <x:c r="I55" s="74" t="str"/>
      <x:c r="J55" s="74" t="str">
        <x:v>João Ferreira</x:v>
      </x:c>
      <x:c r="K55" s="75" t="str">
        <x:v>Plano aprovado e integrado ao cronograma.</x:v>
      </x:c>
      <x:c r="L55" s="77" t="str"/>
      <x:c r="M55" s="77" t="str"/>
      <x:c r="N55" s="77" t="str"/>
      <x:c r="O55" s="77" t="str">
        <x:f>IF(OR(I55="",AND(L55="",M55="",N55="")),"",I55*(N(L55)+N(M55)+N(N55)))</x:f>
      </x:c>
      <x:c r="P55" s="76" t="n">
        <x:v>46188</x:v>
      </x:c>
      <x:c r="Q55" s="76" t="n">
        <x:v>46199</x:v>
      </x:c>
      <x:c r="R55" s="74" t="n">
        <x:v>10</x:v>
      </x:c>
      <x:c r="S55" s="74" t="str">
        <x:v>Percentual</x:v>
      </x:c>
      <x:c r="T55" s="78" t="n">
        <x:v>100</x:v>
      </x:c>
      <x:c r="U55" s="74" t="str"/>
      <x:c r="V55" s="74" t="str"/>
      <x:c r="W55" s="74" t="str"/>
      <x:c r="X55" s="74" t="str"/>
      <x:c r="Y55" s="74" t="str">
        <x:v>Concluída</x:v>
      </x:c>
    </x:row>
    <x:row r="56">
      <x:c r="A56" s="74" t="str">
        <x:v>Pavimentação Rodoviária SE-100 - Trecho Demonstrativo</x:v>
      </x:c>
      <x:c r="B56" s="74" t="str">
        <x:v>2.1.2</x:v>
      </x:c>
      <x:c r="C56" s="74" t="n">
        <x:v>3</x:v>
      </x:c>
      <x:c r="D56" s="74" t="str">
        <x:v>Tarefa</x:v>
      </x:c>
      <x:c r="E56" s="74" t="str">
        <x:v>2.1</x:v>
      </x:c>
      <x:c r="F56" s="74" t="str">
        <x:v>Topografia inicial e implantação de marcos</x:v>
      </x:c>
      <x:c r="G56" s="75" t="str">
        <x:v>Rede de referência, eixo, seções e marcos.</x:v>
      </x:c>
      <x:c r="H56" s="74" t="str"/>
      <x:c r="I56" s="74" t="str"/>
      <x:c r="J56" s="74" t="str">
        <x:v>João Ferreira</x:v>
      </x:c>
      <x:c r="K56" s="75" t="str">
        <x:v>Marcos conferidos e boletins validados.</x:v>
      </x:c>
      <x:c r="L56" s="77" t="str"/>
      <x:c r="M56" s="77" t="str"/>
      <x:c r="N56" s="77" t="str"/>
      <x:c r="O56" s="77" t="str">
        <x:f>IF(OR(I56="",AND(L56="",M56="",N56="")),"",I56*(N(L56)+N(M56)+N(N56)))</x:f>
      </x:c>
      <x:c r="P56" s="76" t="n">
        <x:v>46188</x:v>
      </x:c>
      <x:c r="Q56" s="76" t="n">
        <x:v>46206</x:v>
      </x:c>
      <x:c r="R56" s="74" t="n">
        <x:v>15</x:v>
      </x:c>
      <x:c r="S56" s="74" t="str">
        <x:v>Percentual</x:v>
      </x:c>
      <x:c r="T56" s="78" t="n">
        <x:v>100</x:v>
      </x:c>
      <x:c r="U56" s="74" t="str"/>
      <x:c r="V56" s="74" t="str"/>
      <x:c r="W56" s="74" t="str"/>
      <x:c r="X56" s="74" t="str"/>
      <x:c r="Y56" s="74" t="str">
        <x:v>Concluída</x:v>
      </x:c>
    </x:row>
    <x:row r="57">
      <x:c r="A57" s="74" t="str">
        <x:v>Pavimentação Rodoviária SE-100 - Trecho Demonstrativo</x:v>
      </x:c>
      <x:c r="B57" s="74" t="str">
        <x:v>2.1.3</x:v>
      </x:c>
      <x:c r="C57" s="74" t="n">
        <x:v>3</x:v>
      </x:c>
      <x:c r="D57" s="74" t="str">
        <x:v>Tarefa</x:v>
      </x:c>
      <x:c r="E57" s="74" t="str">
        <x:v>2.1</x:v>
      </x:c>
      <x:c r="F57" s="74" t="str">
        <x:v>Licenças, interferências e liberações</x:v>
      </x:c>
      <x:c r="G57" s="75" t="str">
        <x:v>Liberações ambientais, acessos e interferências.</x:v>
      </x:c>
      <x:c r="H57" s="74" t="str"/>
      <x:c r="I57" s="74" t="str"/>
      <x:c r="J57" s="74" t="str">
        <x:v>Luciano Melo</x:v>
      </x:c>
      <x:c r="K57" s="75" t="str">
        <x:v>Frentes liberadas documentalmente.</x:v>
      </x:c>
      <x:c r="L57" s="77" t="str"/>
      <x:c r="M57" s="77" t="str"/>
      <x:c r="N57" s="77" t="str"/>
      <x:c r="O57" s="77" t="str">
        <x:f>IF(OR(I57="",AND(L57="",M57="",N57="")),"",I57*(N(L57)+N(M57)+N(N57)))</x:f>
      </x:c>
      <x:c r="P57" s="76" t="n">
        <x:v>46188</x:v>
      </x:c>
      <x:c r="Q57" s="76" t="n">
        <x:v>46220</x:v>
      </x:c>
      <x:c r="R57" s="74" t="n">
        <x:v>25</x:v>
      </x:c>
      <x:c r="S57" s="74" t="str">
        <x:v>Percentual</x:v>
      </x:c>
      <x:c r="T57" s="78" t="n">
        <x:v>100</x:v>
      </x:c>
      <x:c r="U57" s="74" t="str"/>
      <x:c r="V57" s="74" t="str"/>
      <x:c r="W57" s="74" t="str"/>
      <x:c r="X57" s="74" t="str"/>
      <x:c r="Y57" s="74" t="str">
        <x:v>Concluída</x:v>
      </x:c>
    </x:row>
    <x:row r="58">
      <x:c r="A58" s="74" t="str">
        <x:v>Pavimentação Rodoviária SE-100 - Trecho Demonstrativo</x:v>
      </x:c>
      <x:c r="B58" s="74" t="str">
        <x:v>2.2.1</x:v>
      </x:c>
      <x:c r="C58" s="74" t="n">
        <x:v>3</x:v>
      </x:c>
      <x:c r="D58" s="74" t="str">
        <x:v>Tarefa</x:v>
      </x:c>
      <x:c r="E58" s="74" t="str">
        <x:v>2.2</x:v>
      </x:c>
      <x:c r="F58" s="74" t="str">
        <x:v>Mobilização do canteiro e usina de apoio</x:v>
      </x:c>
      <x:c r="G58" s="75" t="str">
        <x:v>Canteiro, laboratório, oficinas, acessos e áreas de estoque.</x:v>
      </x:c>
      <x:c r="H58" s="74" t="str"/>
      <x:c r="I58" s="74" t="str"/>
      <x:c r="J58" s="74" t="str">
        <x:v>João Ferreira</x:v>
      </x:c>
      <x:c r="K58" s="75" t="str">
        <x:v>Estruturas operacionais e licenciadas.</x:v>
      </x:c>
      <x:c r="L58" s="77" t="str"/>
      <x:c r="M58" s="77" t="str"/>
      <x:c r="N58" s="77" t="str"/>
      <x:c r="O58" s="77" t="str">
        <x:f>IF(OR(I58="",AND(L58="",M58="",N58="")),"",I58*(N(L58)+N(M58)+N(N58)))</x:f>
      </x:c>
      <x:c r="P58" s="76" t="n">
        <x:v>46188</x:v>
      </x:c>
      <x:c r="Q58" s="76" t="n">
        <x:v>46213</x:v>
      </x:c>
      <x:c r="R58" s="74" t="n">
        <x:v>20</x:v>
      </x:c>
      <x:c r="S58" s="74" t="str">
        <x:v>Percentual</x:v>
      </x:c>
      <x:c r="T58" s="78" t="n">
        <x:v>100</x:v>
      </x:c>
      <x:c r="U58" s="74" t="str"/>
      <x:c r="V58" s="74" t="str"/>
      <x:c r="W58" s="74" t="str"/>
      <x:c r="X58" s="74" t="str"/>
      <x:c r="Y58" s="74" t="str">
        <x:v>Concluída</x:v>
      </x:c>
    </x:row>
    <x:row r="59">
      <x:c r="A59" s="74" t="str">
        <x:v>Pavimentação Rodoviária SE-100 - Trecho Demonstrativo</x:v>
      </x:c>
      <x:c r="B59" s="74" t="str">
        <x:v>2.2.2</x:v>
      </x:c>
      <x:c r="C59" s="74" t="n">
        <x:v>3</x:v>
      </x:c>
      <x:c r="D59" s="74" t="str">
        <x:v>Tarefa</x:v>
      </x:c>
      <x:c r="E59" s="74" t="str">
        <x:v>2.2</x:v>
      </x:c>
      <x:c r="F59" s="74" t="str">
        <x:v>Sinalização provisória e desvios de tráfego</x:v>
      </x:c>
      <x:c r="G59" s="75" t="str">
        <x:v>Sinalização temporária, dispositivos e desvios.</x:v>
      </x:c>
      <x:c r="H59" s="74" t="str"/>
      <x:c r="I59" s="74" t="str"/>
      <x:c r="J59" s="74" t="str">
        <x:v>Bruno Dias</x:v>
      </x:c>
      <x:c r="K59" s="75" t="str">
        <x:v>Plano de tráfego implantado e seguro.</x:v>
      </x:c>
      <x:c r="L59" s="77" t="str"/>
      <x:c r="M59" s="77" t="str"/>
      <x:c r="N59" s="77" t="str"/>
      <x:c r="O59" s="77" t="str">
        <x:f>IF(OR(I59="",AND(L59="",M59="",N59="")),"",I59*(N(L59)+N(M59)+N(N59)))</x:f>
      </x:c>
      <x:c r="P59" s="76" t="n">
        <x:v>46195</x:v>
      </x:c>
      <x:c r="Q59" s="76" t="n">
        <x:v>46220</x:v>
      </x:c>
      <x:c r="R59" s="74" t="n">
        <x:v>20</x:v>
      </x:c>
      <x:c r="S59" s="74" t="str">
        <x:v>Percentual</x:v>
      </x:c>
      <x:c r="T59" s="78" t="n">
        <x:v>100</x:v>
      </x:c>
      <x:c r="U59" s="74" t="str"/>
      <x:c r="V59" s="74" t="str"/>
      <x:c r="W59" s="74" t="str"/>
      <x:c r="X59" s="74" t="str">
        <x:v>2.2.1</x:v>
      </x:c>
      <x:c r="Y59" s="74" t="str">
        <x:v>Concluída</x:v>
      </x:c>
    </x:row>
    <x:row r="60">
      <x:c r="A60" s="74" t="str">
        <x:v>Pavimentação Rodoviária SE-100 - Trecho Demonstrativo</x:v>
      </x:c>
      <x:c r="B60" s="74" t="str">
        <x:v>2.2.3</x:v>
      </x:c>
      <x:c r="C60" s="74" t="n">
        <x:v>3</x:v>
      </x:c>
      <x:c r="D60" s="74" t="str">
        <x:v>Tarefa</x:v>
      </x:c>
      <x:c r="E60" s="74" t="str">
        <x:v>2.2</x:v>
      </x:c>
      <x:c r="F60" s="74" t="str">
        <x:v>Limpeza, desmatamento e destocamento</x:v>
      </x:c>
      <x:c r="G60" s="75" t="str">
        <x:v>Limpeza da faixa, retirada de vegetação e material inadequado.</x:v>
      </x:c>
      <x:c r="H60" s="74" t="str">
        <x:v>m²</x:v>
      </x:c>
      <x:c r="I60" s="74" t="n">
        <x:v>440000</x:v>
      </x:c>
      <x:c r="J60" s="74" t="str">
        <x:v>Eduardo Costa</x:v>
      </x:c>
      <x:c r="K60" s="75" t="str">
        <x:v>Faixa liberada e destinação ambiental comprovada.</x:v>
      </x:c>
      <x:c r="L60" s="77" t="str"/>
      <x:c r="M60" s="77" t="n">
        <x:v>1.2</x:v>
      </x:c>
      <x:c r="N60" s="77" t="n">
        <x:v>1.8</x:v>
      </x:c>
      <x:c r="O60" s="77" t="n">
        <x:f>IF(OR(I60="",AND(L60="",M60="",N60="")),"",I60*(N(L60)+N(M60)+N(N60)))</x:f>
        <x:v>1320000</x:v>
      </x:c>
      <x:c r="P60" s="76" t="n">
        <x:v>46209</x:v>
      </x:c>
      <x:c r="Q60" s="76" t="n">
        <x:v>46241</x:v>
      </x:c>
      <x:c r="R60" s="74" t="n">
        <x:v>25</x:v>
      </x:c>
      <x:c r="S60" s="74" t="str">
        <x:v>Quantidade</x:v>
      </x:c>
      <x:c r="T60" s="78" t="n">
        <x:v>100</x:v>
      </x:c>
      <x:c r="U60" s="74" t="n">
        <x:v>440000</x:v>
      </x:c>
      <x:c r="V60" s="74" t="n">
        <x:v>440000</x:v>
      </x:c>
      <x:c r="W60" s="74" t="str">
        <x:v>m²</x:v>
      </x:c>
      <x:c r="X60" s="74" t="str">
        <x:v>2.2.2</x:v>
      </x:c>
      <x:c r="Y60" s="74" t="str">
        <x:v>Concluída</x:v>
      </x:c>
    </x:row>
    <x:row r="61">
      <x:c r="A61" s="74" t="str">
        <x:v>Pavimentação Rodoviária SE-100 - Trecho Demonstrativo</x:v>
      </x:c>
      <x:c r="B61" s="74" t="str">
        <x:v>2.3.1</x:v>
      </x:c>
      <x:c r="C61" s="74" t="n">
        <x:v>3</x:v>
      </x:c>
      <x:c r="D61" s="74" t="str">
        <x:v>Tarefa</x:v>
      </x:c>
      <x:c r="E61" s="74" t="str">
        <x:v>2.3</x:v>
      </x:c>
      <x:c r="F61" s="74" t="str">
        <x:v>Escavação, carga e transporte de material</x:v>
      </x:c>
      <x:c r="G61" s="75" t="str">
        <x:v>Cortes, carga, transporte e disposição/uso em aterros.</x:v>
      </x:c>
      <x:c r="H61" s="74" t="str">
        <x:v>m³</x:v>
      </x:c>
      <x:c r="I61" s="74" t="n">
        <x:v>48000</x:v>
      </x:c>
      <x:c r="J61" s="74" t="str">
        <x:v>Eduardo Costa</x:v>
      </x:c>
      <x:c r="K61" s="75" t="str">
        <x:v>Volumes conferidos e cotas dentro das tolerâncias.</x:v>
      </x:c>
      <x:c r="L61" s="77" t="str"/>
      <x:c r="M61" s="77" t="n">
        <x:v>6</x:v>
      </x:c>
      <x:c r="N61" s="77" t="n">
        <x:v>22</x:v>
      </x:c>
      <x:c r="O61" s="77" t="n">
        <x:f>IF(OR(I61="",AND(L61="",M61="",N61="")),"",I61*(N(L61)+N(M61)+N(N61)))</x:f>
        <x:v>1344000</x:v>
      </x:c>
      <x:c r="P61" s="76" t="n">
        <x:v>46223</x:v>
      </x:c>
      <x:c r="Q61" s="76" t="n">
        <x:v>46339</x:v>
      </x:c>
      <x:c r="R61" s="74" t="n">
        <x:v>85</x:v>
      </x:c>
      <x:c r="S61" s="74" t="str">
        <x:v>Quantidade</x:v>
      </x:c>
      <x:c r="T61" s="78" t="n">
        <x:v>70</x:v>
      </x:c>
      <x:c r="U61" s="74" t="n">
        <x:v>48000</x:v>
      </x:c>
      <x:c r="V61" s="74" t="n">
        <x:v>33600</x:v>
      </x:c>
      <x:c r="W61" s="74" t="str">
        <x:v>m³</x:v>
      </x:c>
      <x:c r="X61" s="74" t="str">
        <x:v>2.2.3</x:v>
      </x:c>
      <x:c r="Y61" s="74" t="str">
        <x:v>Em andamento</x:v>
      </x:c>
    </x:row>
    <x:row r="62">
      <x:c r="A62" s="74" t="str">
        <x:v>Pavimentação Rodoviária SE-100 - Trecho Demonstrativo</x:v>
      </x:c>
      <x:c r="B62" s="74" t="str">
        <x:v>2.3.2</x:v>
      </x:c>
      <x:c r="C62" s="74" t="n">
        <x:v>3</x:v>
      </x:c>
      <x:c r="D62" s="74" t="str">
        <x:v>Tarefa</x:v>
      </x:c>
      <x:c r="E62" s="74" t="str">
        <x:v>2.3</x:v>
      </x:c>
      <x:c r="F62" s="74" t="str">
        <x:v>Execução e compactação de aterros</x:v>
      </x:c>
      <x:c r="G62" s="75" t="str">
        <x:v>Espalhamento em camadas, umidificação e compactação.</x:v>
      </x:c>
      <x:c r="H62" s="74" t="str">
        <x:v>m³</x:v>
      </x:c>
      <x:c r="I62" s="74" t="n">
        <x:v>36000</x:v>
      </x:c>
      <x:c r="J62" s="74" t="str">
        <x:v>Eduardo Costa</x:v>
      </x:c>
      <x:c r="K62" s="75" t="str">
        <x:v>Grau de compactação e umidade atendidos.</x:v>
      </x:c>
      <x:c r="L62" s="77" t="n">
        <x:v>2</x:v>
      </x:c>
      <x:c r="M62" s="77" t="n">
        <x:v>5</x:v>
      </x:c>
      <x:c r="N62" s="77" t="n">
        <x:v>11</x:v>
      </x:c>
      <x:c r="O62" s="77" t="n">
        <x:f>IF(OR(I62="",AND(L62="",M62="",N62="")),"",I62*(N(L62)+N(M62)+N(N62)))</x:f>
        <x:v>648000</x:v>
      </x:c>
      <x:c r="P62" s="76" t="n">
        <x:v>46237</x:v>
      </x:c>
      <x:c r="Q62" s="76" t="n">
        <x:v>46374</x:v>
      </x:c>
      <x:c r="R62" s="74" t="n">
        <x:v>100</x:v>
      </x:c>
      <x:c r="S62" s="74" t="str">
        <x:v>Quantidade</x:v>
      </x:c>
      <x:c r="T62" s="78" t="n">
        <x:v>62</x:v>
      </x:c>
      <x:c r="U62" s="74" t="n">
        <x:v>36000</x:v>
      </x:c>
      <x:c r="V62" s="74" t="n">
        <x:v>22320</x:v>
      </x:c>
      <x:c r="W62" s="74" t="str">
        <x:v>m³</x:v>
      </x:c>
      <x:c r="X62" s="74" t="str">
        <x:v>2.3.1</x:v>
      </x:c>
      <x:c r="Y62" s="74" t="str">
        <x:v>Em andamento</x:v>
      </x:c>
    </x:row>
    <x:row r="63">
      <x:c r="A63" s="74" t="str">
        <x:v>Pavimentação Rodoviária SE-100 - Trecho Demonstrativo</x:v>
      </x:c>
      <x:c r="B63" s="74" t="str">
        <x:v>2.3.3</x:v>
      </x:c>
      <x:c r="C63" s="74" t="n">
        <x:v>3</x:v>
      </x:c>
      <x:c r="D63" s="74" t="str">
        <x:v>Tarefa</x:v>
      </x:c>
      <x:c r="E63" s="74" t="str">
        <x:v>2.3</x:v>
      </x:c>
      <x:c r="F63" s="74" t="str">
        <x:v>Regularização e compactação do subleito</x:v>
      </x:c>
      <x:c r="G63" s="75" t="str">
        <x:v>Regularização final da plataforma para receber pavimento.</x:v>
      </x:c>
      <x:c r="H63" s="74" t="str">
        <x:v>m²</x:v>
      </x:c>
      <x:c r="I63" s="74" t="n">
        <x:v>220000</x:v>
      </x:c>
      <x:c r="J63" s="74" t="str">
        <x:v>Eduardo Costa</x:v>
      </x:c>
      <x:c r="K63" s="75" t="str">
        <x:v>Cotas, largura e compactação aprovadas.</x:v>
      </x:c>
      <x:c r="L63" s="77" t="str"/>
      <x:c r="M63" s="77" t="n">
        <x:v>1.4</x:v>
      </x:c>
      <x:c r="N63" s="77" t="n">
        <x:v>2.6</x:v>
      </x:c>
      <x:c r="O63" s="77" t="n">
        <x:f>IF(OR(I63="",AND(L63="",M63="",N63="")),"",I63*(N(L63)+N(M63)+N(N63)))</x:f>
        <x:v>880000</x:v>
      </x:c>
      <x:c r="P63" s="76" t="n">
        <x:v>46300</x:v>
      </x:c>
      <x:c r="Q63" s="76" t="n">
        <x:v>46402</x:v>
      </x:c>
      <x:c r="R63" s="74" t="n">
        <x:v>75</x:v>
      </x:c>
      <x:c r="S63" s="74" t="str">
        <x:v>Quantidade</x:v>
      </x:c>
      <x:c r="T63" s="78" t="n">
        <x:v>35</x:v>
      </x:c>
      <x:c r="U63" s="74" t="n">
        <x:v>220000</x:v>
      </x:c>
      <x:c r="V63" s="74" t="n">
        <x:v>77000</x:v>
      </x:c>
      <x:c r="W63" s="74" t="str">
        <x:v>m²</x:v>
      </x:c>
      <x:c r="X63" s="74" t="str">
        <x:v>2.3.2</x:v>
      </x:c>
      <x:c r="Y63" s="74" t="str">
        <x:v>Em andamento</x:v>
      </x:c>
    </x:row>
    <x:row r="64">
      <x:c r="A64" s="74" t="str">
        <x:v>Pavimentação Rodoviária SE-100 - Trecho Demonstrativo</x:v>
      </x:c>
      <x:c r="B64" s="74" t="str">
        <x:v>2.4.1</x:v>
      </x:c>
      <x:c r="C64" s="74" t="n">
        <x:v>3</x:v>
      </x:c>
      <x:c r="D64" s="74" t="str">
        <x:v>Tarefa</x:v>
      </x:c>
      <x:c r="E64" s="74" t="str">
        <x:v>2.4</x:v>
      </x:c>
      <x:c r="F64" s="74" t="str">
        <x:v>Bueiros tubulares e celulares</x:v>
      </x:c>
      <x:c r="G64" s="75" t="str">
        <x:v>Implantação e recomposição de bueiros e cabeceiras.</x:v>
      </x:c>
      <x:c r="H64" s="74" t="str">
        <x:v>un</x:v>
      </x:c>
      <x:c r="I64" s="74" t="n">
        <x:v>18</x:v>
      </x:c>
      <x:c r="J64" s="74" t="str">
        <x:v>Luciano Melo</x:v>
      </x:c>
      <x:c r="K64" s="75" t="str">
        <x:v>Cotas, declividade, concreto e acabamento aprovados.</x:v>
      </x:c>
      <x:c r="L64" s="77" t="n">
        <x:v>28500</x:v>
      </x:c>
      <x:c r="M64" s="77" t="n">
        <x:v>12500</x:v>
      </x:c>
      <x:c r="N64" s="77" t="n">
        <x:v>8500</x:v>
      </x:c>
      <x:c r="O64" s="77" t="n">
        <x:f>IF(OR(I64="",AND(L64="",M64="",N64="")),"",I64*(N(L64)+N(M64)+N(N64)))</x:f>
        <x:v>891000</x:v>
      </x:c>
      <x:c r="P64" s="76" t="n">
        <x:v>46230</x:v>
      </x:c>
      <x:c r="Q64" s="76" t="n">
        <x:v>46360</x:v>
      </x:c>
      <x:c r="R64" s="74" t="n">
        <x:v>95</x:v>
      </x:c>
      <x:c r="S64" s="74" t="str">
        <x:v>Quantidade</x:v>
      </x:c>
      <x:c r="T64" s="78" t="n">
        <x:v>55</x:v>
      </x:c>
      <x:c r="U64" s="74" t="n">
        <x:v>18</x:v>
      </x:c>
      <x:c r="V64" s="74" t="n">
        <x:v>10</x:v>
      </x:c>
      <x:c r="W64" s="74" t="str">
        <x:v>un</x:v>
      </x:c>
      <x:c r="X64" s="74" t="str">
        <x:v>2.2.3</x:v>
      </x:c>
      <x:c r="Y64" s="74" t="str">
        <x:v>Em andamento</x:v>
      </x:c>
    </x:row>
    <x:row r="65">
      <x:c r="A65" s="74" t="str">
        <x:v>Pavimentação Rodoviária SE-100 - Trecho Demonstrativo</x:v>
      </x:c>
      <x:c r="B65" s="74" t="str">
        <x:v>2.4.2</x:v>
      </x:c>
      <x:c r="C65" s="74" t="n">
        <x:v>3</x:v>
      </x:c>
      <x:c r="D65" s="74" t="str">
        <x:v>Tarefa</x:v>
      </x:c>
      <x:c r="E65" s="74" t="str">
        <x:v>2.4</x:v>
      </x:c>
      <x:c r="F65" s="74" t="str">
        <x:v>Valetas, sarjetas e descidas d'água</x:v>
      </x:c>
      <x:c r="G65" s="75" t="str">
        <x:v>Dispositivos superficiais de drenagem longitudinal/transversal.</x:v>
      </x:c>
      <x:c r="H65" s="74" t="str">
        <x:v>m</x:v>
      </x:c>
      <x:c r="I65" s="74" t="n">
        <x:v>18500</x:v>
      </x:c>
      <x:c r="J65" s="74" t="str">
        <x:v>Luciano Melo</x:v>
      </x:c>
      <x:c r="K65" s="75" t="str">
        <x:v>Seção, caimento e acabamento conforme projeto.</x:v>
      </x:c>
      <x:c r="L65" s="77" t="n">
        <x:v>42</x:v>
      </x:c>
      <x:c r="M65" s="77" t="n">
        <x:v>33</x:v>
      </x:c>
      <x:c r="N65" s="77" t="n">
        <x:v>8</x:v>
      </x:c>
      <x:c r="O65" s="77" t="n">
        <x:f>IF(OR(I65="",AND(L65="",M65="",N65="")),"",I65*(N(L65)+N(M65)+N(N65)))</x:f>
        <x:v>1535500</x:v>
      </x:c>
      <x:c r="P65" s="76" t="n">
        <x:v>46266</x:v>
      </x:c>
      <x:c r="Q65" s="76" t="n">
        <x:v>46430</x:v>
      </x:c>
      <x:c r="R65" s="74" t="n">
        <x:v>119</x:v>
      </x:c>
      <x:c r="S65" s="74" t="str">
        <x:v>Quantidade</x:v>
      </x:c>
      <x:c r="T65" s="78" t="n">
        <x:v>35</x:v>
      </x:c>
      <x:c r="U65" s="74" t="n">
        <x:v>18500</x:v>
      </x:c>
      <x:c r="V65" s="74" t="n">
        <x:v>6475</x:v>
      </x:c>
      <x:c r="W65" s="74" t="str">
        <x:v>m</x:v>
      </x:c>
      <x:c r="X65" s="74" t="str">
        <x:v>2.4.1</x:v>
      </x:c>
      <x:c r="Y65" s="74" t="str">
        <x:v>Em andamento</x:v>
      </x:c>
    </x:row>
    <x:row r="66">
      <x:c r="A66" s="74" t="str">
        <x:v>Pavimentação Rodoviária SE-100 - Trecho Demonstrativo</x:v>
      </x:c>
      <x:c r="B66" s="74" t="str">
        <x:v>2.4.3</x:v>
      </x:c>
      <x:c r="C66" s="74" t="n">
        <x:v>3</x:v>
      </x:c>
      <x:c r="D66" s="74" t="str">
        <x:v>Tarefa</x:v>
      </x:c>
      <x:c r="E66" s="74" t="str">
        <x:v>2.4</x:v>
      </x:c>
      <x:c r="F66" s="74" t="str">
        <x:v>Drenagem profunda e subdrenos</x:v>
      </x:c>
      <x:c r="G66" s="75" t="str">
        <x:v>Drenos profundos, tubos, brita filtro e geotêxteis.</x:v>
      </x:c>
      <x:c r="H66" s="74" t="str">
        <x:v>m</x:v>
      </x:c>
      <x:c r="I66" s="74" t="n">
        <x:v>6200</x:v>
      </x:c>
      <x:c r="J66" s="74" t="str">
        <x:v>Luciano Melo</x:v>
      </x:c>
      <x:c r="K66" s="75" t="str">
        <x:v>Cotas, materiais e fluxo verificados.</x:v>
      </x:c>
      <x:c r="L66" s="77" t="n">
        <x:v>78</x:v>
      </x:c>
      <x:c r="M66" s="77" t="n">
        <x:v>46</x:v>
      </x:c>
      <x:c r="N66" s="77" t="n">
        <x:v>18</x:v>
      </x:c>
      <x:c r="O66" s="77" t="n">
        <x:f>IF(OR(I66="",AND(L66="",M66="",N66="")),"",I66*(N(L66)+N(M66)+N(N66)))</x:f>
        <x:v>880400</x:v>
      </x:c>
      <x:c r="P66" s="76" t="n">
        <x:v>46286</x:v>
      </x:c>
      <x:c r="Q66" s="76" t="n">
        <x:v>46416</x:v>
      </x:c>
      <x:c r="R66" s="74" t="n">
        <x:v>95</x:v>
      </x:c>
      <x:c r="S66" s="74" t="str">
        <x:v>Quantidade</x:v>
      </x:c>
      <x:c r="T66" s="78" t="n">
        <x:v>20</x:v>
      </x:c>
      <x:c r="U66" s="74" t="n">
        <x:v>6200</x:v>
      </x:c>
      <x:c r="V66" s="74" t="n">
        <x:v>1240</x:v>
      </x:c>
      <x:c r="W66" s="74" t="str">
        <x:v>m</x:v>
      </x:c>
      <x:c r="X66" s="74" t="str">
        <x:v>2.4.1</x:v>
      </x:c>
      <x:c r="Y66" s="74" t="str">
        <x:v>Em andamento</x:v>
      </x:c>
    </x:row>
    <x:row r="67">
      <x:c r="A67" s="74" t="str">
        <x:v>Pavimentação Rodoviária SE-100 - Trecho Demonstrativo</x:v>
      </x:c>
      <x:c r="B67" s="74" t="str">
        <x:v>2.5.1</x:v>
      </x:c>
      <x:c r="C67" s="74" t="n">
        <x:v>3</x:v>
      </x:c>
      <x:c r="D67" s="74" t="str">
        <x:v>Tarefa</x:v>
      </x:c>
      <x:c r="E67" s="74" t="str">
        <x:v>2.5</x:v>
      </x:c>
      <x:c r="F67" s="74" t="str">
        <x:v>Sub-base estabilizada</x:v>
      </x:c>
      <x:c r="G67" s="75" t="str">
        <x:v>Espalhamento, umidificação e compactação da sub-base.</x:v>
      </x:c>
      <x:c r="H67" s="74" t="str">
        <x:v>m³</x:v>
      </x:c>
      <x:c r="I67" s="74" t="n">
        <x:v>15500</x:v>
      </x:c>
      <x:c r="J67" s="74" t="str">
        <x:v>Eduardo Costa</x:v>
      </x:c>
      <x:c r="K67" s="75" t="str">
        <x:v>Espessura, densidade e geometria aprovadas.</x:v>
      </x:c>
      <x:c r="L67" s="77" t="n">
        <x:v>72</x:v>
      </x:c>
      <x:c r="M67" s="77" t="n">
        <x:v>16</x:v>
      </x:c>
      <x:c r="N67" s="77" t="n">
        <x:v>30</x:v>
      </x:c>
      <x:c r="O67" s="77" t="n">
        <x:f>IF(OR(I67="",AND(L67="",M67="",N67="")),"",I67*(N(L67)+N(M67)+N(N67)))</x:f>
        <x:v>1829000</x:v>
      </x:c>
      <x:c r="P67" s="76" t="n">
        <x:v>46328</x:v>
      </x:c>
      <x:c r="Q67" s="76" t="n">
        <x:v>46444</x:v>
      </x:c>
      <x:c r="R67" s="74" t="n">
        <x:v>85</x:v>
      </x:c>
      <x:c r="S67" s="74" t="str">
        <x:v>Quantidade</x:v>
      </x:c>
      <x:c r="T67" s="78" t="n">
        <x:v>25</x:v>
      </x:c>
      <x:c r="U67" s="74" t="n">
        <x:v>15500</x:v>
      </x:c>
      <x:c r="V67" s="74" t="n">
        <x:v>3875</x:v>
      </x:c>
      <x:c r="W67" s="74" t="str">
        <x:v>m³</x:v>
      </x:c>
      <x:c r="X67" s="74" t="str">
        <x:v>2.3.3</x:v>
      </x:c>
      <x:c r="Y67" s="74" t="str">
        <x:v>Em andamento</x:v>
      </x:c>
    </x:row>
    <x:row r="68">
      <x:c r="A68" s="74" t="str">
        <x:v>Pavimentação Rodoviária SE-100 - Trecho Demonstrativo</x:v>
      </x:c>
      <x:c r="B68" s="74" t="str">
        <x:v>2.5.2</x:v>
      </x:c>
      <x:c r="C68" s="74" t="n">
        <x:v>3</x:v>
      </x:c>
      <x:c r="D68" s="74" t="str">
        <x:v>Tarefa</x:v>
      </x:c>
      <x:c r="E68" s="74" t="str">
        <x:v>2.5</x:v>
      </x:c>
      <x:c r="F68" s="74" t="str">
        <x:v>Base de brita graduada simples</x:v>
      </x:c>
      <x:c r="G68" s="75" t="str">
        <x:v>Produção, transporte, distribuição e compactação da BGS.</x:v>
      </x:c>
      <x:c r="H68" s="74" t="str">
        <x:v>m³</x:v>
      </x:c>
      <x:c r="I68" s="74" t="n">
        <x:v>12300</x:v>
      </x:c>
      <x:c r="J68" s="74" t="str">
        <x:v>Sérgio Santos</x:v>
      </x:c>
      <x:c r="K68" s="75" t="str">
        <x:v>Granulometria, espessura, densidade e acabamento aprovados.</x:v>
      </x:c>
      <x:c r="L68" s="77" t="n">
        <x:v>105</x:v>
      </x:c>
      <x:c r="M68" s="77" t="n">
        <x:v>18</x:v>
      </x:c>
      <x:c r="N68" s="77" t="n">
        <x:v>42</x:v>
      </x:c>
      <x:c r="O68" s="77" t="n">
        <x:f>IF(OR(I68="",AND(L68="",M68="",N68="")),"",I68*(N(L68)+N(M68)+N(N68)))</x:f>
        <x:v>2029500</x:v>
      </x:c>
      <x:c r="P68" s="76" t="n">
        <x:v>46363</x:v>
      </x:c>
      <x:c r="Q68" s="76" t="n">
        <x:v>46477</x:v>
      </x:c>
      <x:c r="R68" s="74" t="n">
        <x:v>83</x:v>
      </x:c>
      <x:c r="S68" s="74" t="str">
        <x:v>Quantidade</x:v>
      </x:c>
      <x:c r="T68" s="78" t="n">
        <x:v>10</x:v>
      </x:c>
      <x:c r="U68" s="74" t="n">
        <x:v>12300</x:v>
      </x:c>
      <x:c r="V68" s="74" t="n">
        <x:v>1230</x:v>
      </x:c>
      <x:c r="W68" s="74" t="str">
        <x:v>m³</x:v>
      </x:c>
      <x:c r="X68" s="74" t="str">
        <x:v>2.5.1</x:v>
      </x:c>
      <x:c r="Y68" s="74" t="str">
        <x:v>Em andamento</x:v>
      </x:c>
    </x:row>
    <x:row r="69">
      <x:c r="A69" s="74" t="str">
        <x:v>Pavimentação Rodoviária SE-100 - Trecho Demonstrativo</x:v>
      </x:c>
      <x:c r="B69" s="74" t="str">
        <x:v>2.5.3</x:v>
      </x:c>
      <x:c r="C69" s="74" t="n">
        <x:v>3</x:v>
      </x:c>
      <x:c r="D69" s="74" t="str">
        <x:v>Tarefa</x:v>
      </x:c>
      <x:c r="E69" s="74" t="str">
        <x:v>2.5</x:v>
      </x:c>
      <x:c r="F69" s="74" t="str">
        <x:v>Imprimação da base</x:v>
      </x:c>
      <x:c r="G69" s="75" t="str">
        <x:v>Aplicação de ligante para imprimação.</x:v>
      </x:c>
      <x:c r="H69" s="74" t="str">
        <x:v>m²</x:v>
      </x:c>
      <x:c r="I69" s="74" t="n">
        <x:v>220000</x:v>
      </x:c>
      <x:c r="J69" s="74" t="str">
        <x:v>Sérgio Santos</x:v>
      </x:c>
      <x:c r="K69" s="75" t="str">
        <x:v>Taxa de aplicação e cura aprovadas.</x:v>
      </x:c>
      <x:c r="L69" s="77" t="n">
        <x:v>4.8</x:v>
      </x:c>
      <x:c r="M69" s="77" t="n">
        <x:v>1.2</x:v>
      </x:c>
      <x:c r="N69" s="77" t="n">
        <x:v>0.9</x:v>
      </x:c>
      <x:c r="O69" s="77" t="n">
        <x:f>IF(OR(I69="",AND(L69="",M69="",N69="")),"",I69*(N(L69)+N(M69)+N(N69)))</x:f>
        <x:v>1518000</x:v>
      </x:c>
      <x:c r="P69" s="76" t="n">
        <x:v>46405</x:v>
      </x:c>
      <x:c r="Q69" s="76" t="n">
        <x:v>46493</x:v>
      </x:c>
      <x:c r="R69" s="74" t="n">
        <x:v>65</x:v>
      </x:c>
      <x:c r="S69" s="74" t="str">
        <x:v>Quantidade</x:v>
      </x:c>
      <x:c r="T69" s="78" t="n">
        <x:v>0</x:v>
      </x:c>
      <x:c r="U69" s="74" t="n">
        <x:v>220000</x:v>
      </x:c>
      <x:c r="V69" s="74" t="str"/>
      <x:c r="W69" s="74" t="str">
        <x:v>m²</x:v>
      </x:c>
      <x:c r="X69" s="74" t="str">
        <x:v>2.5.2</x:v>
      </x:c>
      <x:c r="Y69" s="74" t="str">
        <x:v>Não iniciada</x:v>
      </x:c>
    </x:row>
    <x:row r="70">
      <x:c r="A70" s="74" t="str">
        <x:v>Pavimentação Rodoviária SE-100 - Trecho Demonstrativo</x:v>
      </x:c>
      <x:c r="B70" s="74" t="str">
        <x:v>2.5.4</x:v>
      </x:c>
      <x:c r="C70" s="74" t="n">
        <x:v>3</x:v>
      </x:c>
      <x:c r="D70" s="74" t="str">
        <x:v>Tarefa</x:v>
      </x:c>
      <x:c r="E70" s="74" t="str">
        <x:v>2.5</x:v>
      </x:c>
      <x:c r="F70" s="74" t="str">
        <x:v>Pintura de ligação</x:v>
      </x:c>
      <x:c r="G70" s="75" t="str">
        <x:v>Aplicação de emulsão para aderência entre camadas.</x:v>
      </x:c>
      <x:c r="H70" s="74" t="str">
        <x:v>m²</x:v>
      </x:c>
      <x:c r="I70" s="74" t="n">
        <x:v>220000</x:v>
      </x:c>
      <x:c r="J70" s="74" t="str">
        <x:v>Sérgio Santos</x:v>
      </x:c>
      <x:c r="K70" s="75" t="str">
        <x:v>Taxa e uniformidade aprovadas.</x:v>
      </x:c>
      <x:c r="L70" s="77" t="n">
        <x:v>3.9</x:v>
      </x:c>
      <x:c r="M70" s="77" t="n">
        <x:v>1.1</x:v>
      </x:c>
      <x:c r="N70" s="77" t="n">
        <x:v>0.8</x:v>
      </x:c>
      <x:c r="O70" s="77" t="n">
        <x:f>IF(OR(I70="",AND(L70="",M70="",N70="")),"",I70*(N(L70)+N(M70)+N(N70)))</x:f>
        <x:v>1276000</x:v>
      </x:c>
      <x:c r="P70" s="76" t="n">
        <x:v>46419</x:v>
      </x:c>
      <x:c r="Q70" s="76" t="n">
        <x:v>46521</x:v>
      </x:c>
      <x:c r="R70" s="74" t="n">
        <x:v>75</x:v>
      </x:c>
      <x:c r="S70" s="74" t="str">
        <x:v>Quantidade</x:v>
      </x:c>
      <x:c r="T70" s="78" t="n">
        <x:v>0</x:v>
      </x:c>
      <x:c r="U70" s="74" t="n">
        <x:v>220000</x:v>
      </x:c>
      <x:c r="V70" s="74" t="str"/>
      <x:c r="W70" s="74" t="str">
        <x:v>m²</x:v>
      </x:c>
      <x:c r="X70" s="74" t="str">
        <x:v>2.5.3</x:v>
      </x:c>
      <x:c r="Y70" s="74" t="str">
        <x:v>Não iniciada</x:v>
      </x:c>
    </x:row>
    <x:row r="71">
      <x:c r="A71" s="74" t="str">
        <x:v>Pavimentação Rodoviária SE-100 - Trecho Demonstrativo</x:v>
      </x:c>
      <x:c r="B71" s="74" t="str">
        <x:v>2.5.5</x:v>
      </x:c>
      <x:c r="C71" s="74" t="n">
        <x:v>3</x:v>
      </x:c>
      <x:c r="D71" s="74" t="str">
        <x:v>Tarefa</x:v>
      </x:c>
      <x:c r="E71" s="74" t="str">
        <x:v>2.5</x:v>
      </x:c>
      <x:c r="F71" s="74" t="str">
        <x:v>Revestimento CBUQ faixa C</x:v>
      </x:c>
      <x:c r="G71" s="75" t="str">
        <x:v>Usinagem, transporte, espalhamento e compactação do CBUQ.</x:v>
      </x:c>
      <x:c r="H71" s="74" t="str">
        <x:v>t</x:v>
      </x:c>
      <x:c r="I71" s="74" t="n">
        <x:v>7800</x:v>
      </x:c>
      <x:c r="J71" s="74" t="str">
        <x:v>Sérgio Santos</x:v>
      </x:c>
      <x:c r="K71" s="75" t="str">
        <x:v>Teor, granulometria, temperatura, densidade, espessura e IRI aprovados.</x:v>
      </x:c>
      <x:c r="L71" s="77" t="n">
        <x:v>455</x:v>
      </x:c>
      <x:c r="M71" s="77" t="n">
        <x:v>52</x:v>
      </x:c>
      <x:c r="N71" s="77" t="n">
        <x:v>103</x:v>
      </x:c>
      <x:c r="O71" s="77" t="n">
        <x:f>IF(OR(I71="",AND(L71="",M71="",N71="")),"",I71*(N(L71)+N(M71)+N(N71)))</x:f>
        <x:v>4758000</x:v>
      </x:c>
      <x:c r="P71" s="76" t="n">
        <x:v>46433</x:v>
      </x:c>
      <x:c r="Q71" s="76" t="n">
        <x:v>46535</x:v>
      </x:c>
      <x:c r="R71" s="74" t="n">
        <x:v>75</x:v>
      </x:c>
      <x:c r="S71" s="74" t="str">
        <x:v>Quantidade</x:v>
      </x:c>
      <x:c r="T71" s="78" t="n">
        <x:v>0</x:v>
      </x:c>
      <x:c r="U71" s="74" t="n">
        <x:v>7800</x:v>
      </x:c>
      <x:c r="V71" s="74" t="str"/>
      <x:c r="W71" s="74" t="str">
        <x:v>t</x:v>
      </x:c>
      <x:c r="X71" s="74" t="str">
        <x:v>2.5.4</x:v>
      </x:c>
      <x:c r="Y71" s="74" t="str">
        <x:v>Não iniciada</x:v>
      </x:c>
    </x:row>
    <x:row r="72">
      <x:c r="A72" s="74" t="str">
        <x:v>Pavimentação Rodoviária SE-100 - Trecho Demonstrativo</x:v>
      </x:c>
      <x:c r="B72" s="74" t="str">
        <x:v>2.6.1</x:v>
      </x:c>
      <x:c r="C72" s="74" t="n">
        <x:v>3</x:v>
      </x:c>
      <x:c r="D72" s="74" t="str">
        <x:v>Tarefa</x:v>
      </x:c>
      <x:c r="E72" s="74" t="str">
        <x:v>2.6</x:v>
      </x:c>
      <x:c r="F72" s="74" t="str">
        <x:v>Conformação e revestimento de acostamentos</x:v>
      </x:c>
      <x:c r="G72" s="75" t="str">
        <x:v>Execução dos acostamentos e transições.</x:v>
      </x:c>
      <x:c r="H72" s="74" t="str">
        <x:v>m²</x:v>
      </x:c>
      <x:c r="I72" s="74" t="n">
        <x:v>88000</x:v>
      </x:c>
      <x:c r="J72" s="74" t="str">
        <x:v>Eduardo Costa</x:v>
      </x:c>
      <x:c r="K72" s="75" t="str">
        <x:v>Geometria, compactação e acabamento aprovados.</x:v>
      </x:c>
      <x:c r="L72" s="77" t="n">
        <x:v>22</x:v>
      </x:c>
      <x:c r="M72" s="77" t="n">
        <x:v>8</x:v>
      </x:c>
      <x:c r="N72" s="77" t="n">
        <x:v>12</x:v>
      </x:c>
      <x:c r="O72" s="77" t="n">
        <x:f>IF(OR(I72="",AND(L72="",M72="",N72="")),"",I72*(N(L72)+N(M72)+N(N72)))</x:f>
        <x:v>3696000</x:v>
      </x:c>
      <x:c r="P72" s="76" t="n">
        <x:v>46419</x:v>
      </x:c>
      <x:c r="Q72" s="76" t="n">
        <x:v>46521</x:v>
      </x:c>
      <x:c r="R72" s="74" t="n">
        <x:v>75</x:v>
      </x:c>
      <x:c r="S72" s="74" t="str">
        <x:v>Quantidade</x:v>
      </x:c>
      <x:c r="T72" s="78" t="n">
        <x:v>0</x:v>
      </x:c>
      <x:c r="U72" s="74" t="n">
        <x:v>88000</x:v>
      </x:c>
      <x:c r="V72" s="74" t="str"/>
      <x:c r="W72" s="74" t="str">
        <x:v>m²</x:v>
      </x:c>
      <x:c r="X72" s="74" t="str">
        <x:v>2.5.2</x:v>
      </x:c>
      <x:c r="Y72" s="74" t="str">
        <x:v>Não iniciada</x:v>
      </x:c>
    </x:row>
    <x:row r="73">
      <x:c r="A73" s="74" t="str">
        <x:v>Pavimentação Rodoviária SE-100 - Trecho Demonstrativo</x:v>
      </x:c>
      <x:c r="B73" s="74" t="str">
        <x:v>2.6.2</x:v>
      </x:c>
      <x:c r="C73" s="74" t="n">
        <x:v>3</x:v>
      </x:c>
      <x:c r="D73" s="74" t="str">
        <x:v>Tarefa</x:v>
      </x:c>
      <x:c r="E73" s="74" t="str">
        <x:v>2.6</x:v>
      </x:c>
      <x:c r="F73" s="74" t="str">
        <x:v>Adequação de acessos e interseções</x:v>
      </x:c>
      <x:c r="G73" s="75" t="str">
        <x:v>Adequação geométrica, drenagem e pavimento em acessos.</x:v>
      </x:c>
      <x:c r="H73" s="74" t="str">
        <x:v>un</x:v>
      </x:c>
      <x:c r="I73" s="74" t="n">
        <x:v>14</x:v>
      </x:c>
      <x:c r="J73" s="74" t="str">
        <x:v>Eduardo Costa</x:v>
      </x:c>
      <x:c r="K73" s="75" t="str">
        <x:v>Geometria e segurança operacional aprovadas.</x:v>
      </x:c>
      <x:c r="L73" s="77" t="n">
        <x:v>42000</x:v>
      </x:c>
      <x:c r="M73" s="77" t="n">
        <x:v>18000</x:v>
      </x:c>
      <x:c r="N73" s="77" t="n">
        <x:v>15000</x:v>
      </x:c>
      <x:c r="O73" s="77" t="n">
        <x:f>IF(OR(I73="",AND(L73="",M73="",N73="")),"",I73*(N(L73)+N(M73)+N(N73)))</x:f>
        <x:v>1050000</x:v>
      </x:c>
      <x:c r="P73" s="76" t="n">
        <x:v>46433</x:v>
      </x:c>
      <x:c r="Q73" s="76" t="n">
        <x:v>46535</x:v>
      </x:c>
      <x:c r="R73" s="74" t="n">
        <x:v>75</x:v>
      </x:c>
      <x:c r="S73" s="74" t="str">
        <x:v>Quantidade</x:v>
      </x:c>
      <x:c r="T73" s="78" t="n">
        <x:v>0</x:v>
      </x:c>
      <x:c r="U73" s="74" t="n">
        <x:v>14</x:v>
      </x:c>
      <x:c r="V73" s="74" t="str"/>
      <x:c r="W73" s="74" t="str">
        <x:v>un</x:v>
      </x:c>
      <x:c r="X73" s="74" t="str">
        <x:v>2.5.2</x:v>
      </x:c>
      <x:c r="Y73" s="74" t="str">
        <x:v>Não iniciada</x:v>
      </x:c>
    </x:row>
    <x:row r="74">
      <x:c r="A74" s="74" t="str">
        <x:v>Pavimentação Rodoviária SE-100 - Trecho Demonstrativo</x:v>
      </x:c>
      <x:c r="B74" s="74" t="str">
        <x:v>2.7.1</x:v>
      </x:c>
      <x:c r="C74" s="74" t="n">
        <x:v>3</x:v>
      </x:c>
      <x:c r="D74" s="74" t="str">
        <x:v>Tarefa</x:v>
      </x:c>
      <x:c r="E74" s="74" t="str">
        <x:v>2.7</x:v>
      </x:c>
      <x:c r="F74" s="74" t="str">
        <x:v>Sinalização horizontal</x:v>
      </x:c>
      <x:c r="G74" s="75" t="str">
        <x:v>Pintura de faixas, legendas, zebrados e tachas.</x:v>
      </x:c>
      <x:c r="H74" s="74" t="str">
        <x:v>m²</x:v>
      </x:c>
      <x:c r="I74" s="74" t="n">
        <x:v>9800</x:v>
      </x:c>
      <x:c r="J74" s="74" t="str">
        <x:v>Bruno Dias</x:v>
      </x:c>
      <x:c r="K74" s="75" t="str">
        <x:v>Retrorefletância, largura e posicionamento aprovados.</x:v>
      </x:c>
      <x:c r="L74" s="77" t="n">
        <x:v>38</x:v>
      </x:c>
      <x:c r="M74" s="77" t="n">
        <x:v>22</x:v>
      </x:c>
      <x:c r="N74" s="77" t="n">
        <x:v>6</x:v>
      </x:c>
      <x:c r="O74" s="77" t="n">
        <x:f>IF(OR(I74="",AND(L74="",M74="",N74="")),"",I74*(N(L74)+N(M74)+N(N74)))</x:f>
        <x:v>646800</x:v>
      </x:c>
      <x:c r="P74" s="76" t="n">
        <x:v>46510</x:v>
      </x:c>
      <x:c r="Q74" s="76" t="n">
        <x:v>46549</x:v>
      </x:c>
      <x:c r="R74" s="74" t="n">
        <x:v>30</x:v>
      </x:c>
      <x:c r="S74" s="74" t="str">
        <x:v>Quantidade</x:v>
      </x:c>
      <x:c r="T74" s="78" t="n">
        <x:v>0</x:v>
      </x:c>
      <x:c r="U74" s="74" t="n">
        <x:v>9800</x:v>
      </x:c>
      <x:c r="V74" s="74" t="str"/>
      <x:c r="W74" s="74" t="str">
        <x:v>m²</x:v>
      </x:c>
      <x:c r="X74" s="74" t="str">
        <x:v>2.5.5</x:v>
      </x:c>
      <x:c r="Y74" s="74" t="str">
        <x:v>Não iniciada</x:v>
      </x:c>
    </x:row>
    <x:row r="75">
      <x:c r="A75" s="74" t="str">
        <x:v>Pavimentação Rodoviária SE-100 - Trecho Demonstrativo</x:v>
      </x:c>
      <x:c r="B75" s="74" t="str">
        <x:v>2.7.2</x:v>
      </x:c>
      <x:c r="C75" s="74" t="n">
        <x:v>3</x:v>
      </x:c>
      <x:c r="D75" s="74" t="str">
        <x:v>Tarefa</x:v>
      </x:c>
      <x:c r="E75" s="74" t="str">
        <x:v>2.7</x:v>
      </x:c>
      <x:c r="F75" s="74" t="str">
        <x:v>Sinalização vertical</x:v>
      </x:c>
      <x:c r="G75" s="75" t="str">
        <x:v>Placas regulamentação, advertência e indicação.</x:v>
      </x:c>
      <x:c r="H75" s="74" t="str">
        <x:v>un</x:v>
      </x:c>
      <x:c r="I75" s="74" t="n">
        <x:v>186</x:v>
      </x:c>
      <x:c r="J75" s="74" t="str">
        <x:v>Bruno Dias</x:v>
      </x:c>
      <x:c r="K75" s="75" t="str">
        <x:v>Película, fixação, altura e posicionamento aprovados.</x:v>
      </x:c>
      <x:c r="L75" s="77" t="n">
        <x:v>1650</x:v>
      </x:c>
      <x:c r="M75" s="77" t="n">
        <x:v>340</x:v>
      </x:c>
      <x:c r="N75" s="77" t="n">
        <x:v>110</x:v>
      </x:c>
      <x:c r="O75" s="77" t="n">
        <x:f>IF(OR(I75="",AND(L75="",M75="",N75="")),"",I75*(N(L75)+N(M75)+N(N75)))</x:f>
        <x:v>390600</x:v>
      </x:c>
      <x:c r="P75" s="76" t="n">
        <x:v>46517</x:v>
      </x:c>
      <x:c r="Q75" s="76" t="n">
        <x:v>46556</x:v>
      </x:c>
      <x:c r="R75" s="74" t="n">
        <x:v>30</x:v>
      </x:c>
      <x:c r="S75" s="74" t="str">
        <x:v>Quantidade</x:v>
      </x:c>
      <x:c r="T75" s="78" t="n">
        <x:v>0</x:v>
      </x:c>
      <x:c r="U75" s="74" t="n">
        <x:v>186</x:v>
      </x:c>
      <x:c r="V75" s="74" t="str"/>
      <x:c r="W75" s="74" t="str">
        <x:v>un</x:v>
      </x:c>
      <x:c r="X75" s="74" t="str">
        <x:v>2.5.5</x:v>
      </x:c>
      <x:c r="Y75" s="74" t="str">
        <x:v>Não iniciada</x:v>
      </x:c>
    </x:row>
    <x:row r="76">
      <x:c r="A76" s="74" t="str">
        <x:v>Pavimentação Rodoviária SE-100 - Trecho Demonstrativo</x:v>
      </x:c>
      <x:c r="B76" s="74" t="str">
        <x:v>2.7.3</x:v>
      </x:c>
      <x:c r="C76" s="74" t="n">
        <x:v>3</x:v>
      </x:c>
      <x:c r="D76" s="74" t="str">
        <x:v>Tarefa</x:v>
      </x:c>
      <x:c r="E76" s="74" t="str">
        <x:v>2.7</x:v>
      </x:c>
      <x:c r="F76" s="74" t="str">
        <x:v>Defensas, delineadores e dispositivos de segurança</x:v>
      </x:c>
      <x:c r="G76" s="75" t="str">
        <x:v>Instalação de defensas e dispositivos complementares.</x:v>
      </x:c>
      <x:c r="H76" s="74" t="str">
        <x:v>m</x:v>
      </x:c>
      <x:c r="I76" s="74" t="n">
        <x:v>4200</x:v>
      </x:c>
      <x:c r="J76" s="74" t="str">
        <x:v>Bruno Dias</x:v>
      </x:c>
      <x:c r="K76" s="75" t="str">
        <x:v>Alinhamento, fixação e terminalização aprovados.</x:v>
      </x:c>
      <x:c r="L76" s="77" t="n">
        <x:v>225</x:v>
      </x:c>
      <x:c r="M76" s="77" t="n">
        <x:v>54</x:v>
      </x:c>
      <x:c r="N76" s="77" t="n">
        <x:v>18</x:v>
      </x:c>
      <x:c r="O76" s="77" t="n">
        <x:f>IF(OR(I76="",AND(L76="",M76="",N76="")),"",I76*(N(L76)+N(M76)+N(N76)))</x:f>
        <x:v>1247400</x:v>
      </x:c>
      <x:c r="P76" s="76" t="n">
        <x:v>46524</x:v>
      </x:c>
      <x:c r="Q76" s="76" t="n">
        <x:v>46556</x:v>
      </x:c>
      <x:c r="R76" s="74" t="n">
        <x:v>25</x:v>
      </x:c>
      <x:c r="S76" s="74" t="str">
        <x:v>Quantidade</x:v>
      </x:c>
      <x:c r="T76" s="78" t="n">
        <x:v>0</x:v>
      </x:c>
      <x:c r="U76" s="74" t="n">
        <x:v>4200</x:v>
      </x:c>
      <x:c r="V76" s="74" t="str"/>
      <x:c r="W76" s="74" t="str">
        <x:v>m</x:v>
      </x:c>
      <x:c r="X76" s="74" t="str">
        <x:v>2.5.5</x:v>
      </x:c>
      <x:c r="Y76" s="74" t="str">
        <x:v>Não iniciada</x:v>
      </x:c>
    </x:row>
    <x:row r="77">
      <x:c r="A77" s="74" t="str">
        <x:v>Pavimentação Rodoviária SE-100 - Trecho Demonstrativo</x:v>
      </x:c>
      <x:c r="B77" s="74" t="str">
        <x:v>2.8.1</x:v>
      </x:c>
      <x:c r="C77" s="74" t="n">
        <x:v>3</x:v>
      </x:c>
      <x:c r="D77" s="74" t="str">
        <x:v>Tarefa</x:v>
      </x:c>
      <x:c r="E77" s="74" t="str">
        <x:v>2.8</x:v>
      </x:c>
      <x:c r="F77" s="74" t="str">
        <x:v>Recuperação de jazidas e áreas de apoio</x:v>
      </x:c>
      <x:c r="G77" s="75" t="str">
        <x:v>Reconfiguração, drenagem, proteção e revegetação.</x:v>
      </x:c>
      <x:c r="H77" s="74" t="str"/>
      <x:c r="I77" s="74" t="str"/>
      <x:c r="J77" s="74" t="str">
        <x:v>Luciano Melo</x:v>
      </x:c>
      <x:c r="K77" s="75" t="str">
        <x:v>Plano ambiental atendido e áreas estabilizadas.</x:v>
      </x:c>
      <x:c r="L77" s="77" t="str"/>
      <x:c r="M77" s="77" t="str"/>
      <x:c r="N77" s="77" t="str"/>
      <x:c r="O77" s="77" t="str">
        <x:f>IF(OR(I77="",AND(L77="",M77="",N77="")),"",I77*(N(L77)+N(M77)+N(N77)))</x:f>
      </x:c>
      <x:c r="P77" s="76" t="n">
        <x:v>46482</x:v>
      </x:c>
      <x:c r="Q77" s="76" t="n">
        <x:v>46549</x:v>
      </x:c>
      <x:c r="R77" s="74" t="n">
        <x:v>50</x:v>
      </x:c>
      <x:c r="S77" s="74" t="str">
        <x:v>Percentual</x:v>
      </x:c>
      <x:c r="T77" s="78" t="n">
        <x:v>0</x:v>
      </x:c>
      <x:c r="U77" s="74" t="str"/>
      <x:c r="V77" s="74" t="str"/>
      <x:c r="W77" s="74" t="str"/>
      <x:c r="X77" s="74" t="str">
        <x:v>2.3.2</x:v>
      </x:c>
      <x:c r="Y77" s="74" t="str">
        <x:v>Não iniciada</x:v>
      </x:c>
    </x:row>
    <x:row r="78">
      <x:c r="A78" s="74" t="str">
        <x:v>Pavimentação Rodoviária SE-100 - Trecho Demonstrativo</x:v>
      </x:c>
      <x:c r="B78" s="74" t="str">
        <x:v>2.8.2</x:v>
      </x:c>
      <x:c r="C78" s="74" t="n">
        <x:v>3</x:v>
      </x:c>
      <x:c r="D78" s="74" t="str">
        <x:v>Tarefa</x:v>
      </x:c>
      <x:c r="E78" s="74" t="str">
        <x:v>2.8</x:v>
      </x:c>
      <x:c r="F78" s="74" t="str">
        <x:v>Recomposição vegetal e proteção de taludes</x:v>
      </x:c>
      <x:c r="G78" s="75" t="str">
        <x:v>Hidrossemeadura, plantio e proteção superficial.</x:v>
      </x:c>
      <x:c r="H78" s="74" t="str">
        <x:v>m²</x:v>
      </x:c>
      <x:c r="I78" s="74" t="n">
        <x:v>125000</x:v>
      </x:c>
      <x:c r="J78" s="74" t="str">
        <x:v>Luciano Melo</x:v>
      </x:c>
      <x:c r="K78" s="75" t="str">
        <x:v>Cobertura vegetal e estabilidade verificadas.</x:v>
      </x:c>
      <x:c r="L78" s="77" t="n">
        <x:v>4.2</x:v>
      </x:c>
      <x:c r="M78" s="77" t="n">
        <x:v>2.7</x:v>
      </x:c>
      <x:c r="N78" s="77" t="n">
        <x:v>1.1</x:v>
      </x:c>
      <x:c r="O78" s="77" t="n">
        <x:f>IF(OR(I78="",AND(L78="",M78="",N78="")),"",I78*(N(L78)+N(M78)+N(N78)))</x:f>
        <x:v>1000000</x:v>
      </x:c>
      <x:c r="P78" s="76" t="n">
        <x:v>46496</x:v>
      </x:c>
      <x:c r="Q78" s="76" t="n">
        <x:v>46556</x:v>
      </x:c>
      <x:c r="R78" s="74" t="n">
        <x:v>45</x:v>
      </x:c>
      <x:c r="S78" s="74" t="str">
        <x:v>Quantidade</x:v>
      </x:c>
      <x:c r="T78" s="78" t="n">
        <x:v>0</x:v>
      </x:c>
      <x:c r="U78" s="74" t="n">
        <x:v>125000</x:v>
      </x:c>
      <x:c r="V78" s="74" t="str"/>
      <x:c r="W78" s="74" t="str">
        <x:v>m²</x:v>
      </x:c>
      <x:c r="X78" s="74" t="str">
        <x:v>2.3.3</x:v>
      </x:c>
      <x:c r="Y78" s="74" t="str">
        <x:v>Não iniciada</x:v>
      </x:c>
    </x:row>
    <x:row r="79">
      <x:c r="A79" s="74" t="str">
        <x:v>Pavimentação Rodoviária SE-100 - Trecho Demonstrativo</x:v>
      </x:c>
      <x:c r="B79" s="74" t="str">
        <x:v>2.9.1</x:v>
      </x:c>
      <x:c r="C79" s="74" t="n">
        <x:v>3</x:v>
      </x:c>
      <x:c r="D79" s="74" t="str">
        <x:v>Tarefa</x:v>
      </x:c>
      <x:c r="E79" s="74" t="str">
        <x:v>2.9</x:v>
      </x:c>
      <x:c r="F79" s="74" t="str">
        <x:v>Controle tecnológico final e correções</x:v>
      </x:c>
      <x:c r="G79" s="75" t="str">
        <x:v>Ensaios finais, verificação geométrica e correção de não conformidades.</x:v>
      </x:c>
      <x:c r="H79" s="74" t="str"/>
      <x:c r="I79" s="74" t="str"/>
      <x:c r="J79" s="74" t="str">
        <x:v>João Ferreira</x:v>
      </x:c>
      <x:c r="K79" s="75" t="str">
        <x:v>Relatórios e resultados aprovados.</x:v>
      </x:c>
      <x:c r="L79" s="77" t="str"/>
      <x:c r="M79" s="77" t="str"/>
      <x:c r="N79" s="77" t="str"/>
      <x:c r="O79" s="77" t="str">
        <x:f>IF(OR(I79="",AND(L79="",M79="",N79="")),"",I79*(N(L79)+N(M79)+N(N79)))</x:f>
      </x:c>
      <x:c r="P79" s="76" t="n">
        <x:v>46510</x:v>
      </x:c>
      <x:c r="Q79" s="76" t="n">
        <x:v>46556</x:v>
      </x:c>
      <x:c r="R79" s="74" t="n">
        <x:v>35</x:v>
      </x:c>
      <x:c r="S79" s="74" t="str">
        <x:v>Percentual</x:v>
      </x:c>
      <x:c r="T79" s="78" t="n">
        <x:v>0</x:v>
      </x:c>
      <x:c r="U79" s="74" t="str"/>
      <x:c r="V79" s="74" t="str"/>
      <x:c r="W79" s="74" t="str"/>
      <x:c r="X79" s="74" t="str">
        <x:v>2.5.5</x:v>
      </x:c>
      <x:c r="Y79" s="74" t="str">
        <x:v>Não iniciada</x:v>
      </x:c>
    </x:row>
    <x:row r="80">
      <x:c r="A80" s="74" t="str">
        <x:v>Pavimentação Rodoviária SE-100 - Trecho Demonstrativo</x:v>
      </x:c>
      <x:c r="B80" s="74" t="str">
        <x:v>2.9.2</x:v>
      </x:c>
      <x:c r="C80" s="74" t="n">
        <x:v>3</x:v>
      </x:c>
      <x:c r="D80" s="74" t="str">
        <x:v>Tarefa</x:v>
      </x:c>
      <x:c r="E80" s="74" t="str">
        <x:v>2.9</x:v>
      </x:c>
      <x:c r="F80" s="74" t="str">
        <x:v>Levantamento as built e documentação</x:v>
      </x:c>
      <x:c r="G80" s="75" t="str">
        <x:v>Cadastro final, volumes, desenhos e dossiê técnico.</x:v>
      </x:c>
      <x:c r="H80" s="74" t="str"/>
      <x:c r="I80" s="74" t="str"/>
      <x:c r="J80" s="74" t="str">
        <x:v>João Ferreira</x:v>
      </x:c>
      <x:c r="K80" s="75" t="str">
        <x:v>Dossiê aceito pela fiscalização.</x:v>
      </x:c>
      <x:c r="L80" s="77" t="str"/>
      <x:c r="M80" s="77" t="str"/>
      <x:c r="N80" s="77" t="str"/>
      <x:c r="O80" s="77" t="str">
        <x:f>IF(OR(I80="",AND(L80="",M80="",N80="")),"",I80*(N(L80)+N(M80)+N(N80)))</x:f>
      </x:c>
      <x:c r="P80" s="76" t="n">
        <x:v>46531</x:v>
      </x:c>
      <x:c r="Q80" s="76" t="n">
        <x:v>46556</x:v>
      </x:c>
      <x:c r="R80" s="74" t="n">
        <x:v>20</x:v>
      </x:c>
      <x:c r="S80" s="74" t="str">
        <x:v>Percentual</x:v>
      </x:c>
      <x:c r="T80" s="78" t="n">
        <x:v>0</x:v>
      </x:c>
      <x:c r="U80" s="74" t="str"/>
      <x:c r="V80" s="74" t="str"/>
      <x:c r="W80" s="74" t="str"/>
      <x:c r="X80" s="74" t="str">
        <x:v>2.9.1</x:v>
      </x:c>
      <x:c r="Y80" s="74" t="str">
        <x:v>Não iniciada</x:v>
      </x:c>
    </x:row>
    <x:row r="81">
      <x:c r="A81" s="74" t="str">
        <x:v>Pavimentação Rodoviária SE-100 - Trecho Demonstrativo</x:v>
      </x:c>
      <x:c r="B81" s="74" t="str">
        <x:v>2.9.3</x:v>
      </x:c>
      <x:c r="C81" s="74" t="n">
        <x:v>3</x:v>
      </x:c>
      <x:c r="D81" s="74" t="str">
        <x:v>Tarefa</x:v>
      </x:c>
      <x:c r="E81" s="74" t="str">
        <x:v>2.9</x:v>
      </x:c>
      <x:c r="F81" s="74" t="str">
        <x:v>Desmobilização e limpeza final</x:v>
      </x:c>
      <x:c r="G81" s="75" t="str">
        <x:v>Retirada de canteiro, resíduos, recomposição e liberação de áreas.</x:v>
      </x:c>
      <x:c r="H81" s="74" t="str"/>
      <x:c r="I81" s="74" t="str"/>
      <x:c r="J81" s="74" t="str">
        <x:v>João Ferreira</x:v>
      </x:c>
      <x:c r="K81" s="75" t="str">
        <x:v>Áreas entregues limpas e recuperadas.</x:v>
      </x:c>
      <x:c r="L81" s="77" t="str"/>
      <x:c r="M81" s="77" t="str"/>
      <x:c r="N81" s="77" t="str"/>
      <x:c r="O81" s="77" t="str">
        <x:f>IF(OR(I81="",AND(L81="",M81="",N81="")),"",I81*(N(L81)+N(M81)+N(N81)))</x:f>
      </x:c>
      <x:c r="P81" s="76" t="n">
        <x:v>46545</x:v>
      </x:c>
      <x:c r="Q81" s="76" t="n">
        <x:v>46563</x:v>
      </x:c>
      <x:c r="R81" s="74" t="n">
        <x:v>15</x:v>
      </x:c>
      <x:c r="S81" s="74" t="str">
        <x:v>Percentual</x:v>
      </x:c>
      <x:c r="T81" s="78" t="n">
        <x:v>0</x:v>
      </x:c>
      <x:c r="U81" s="74" t="str"/>
      <x:c r="V81" s="74" t="str"/>
      <x:c r="W81" s="74" t="str"/>
      <x:c r="X81" s="74" t="str">
        <x:v>2.7.3,2.8.2</x:v>
      </x:c>
      <x:c r="Y81" s="74" t="str">
        <x:v>Não iniciada</x:v>
      </x:c>
    </x:row>
    <x:row r="82">
      <x:c r="A82" s="74" t="str">
        <x:v>Pavimentação Rodoviária SE-100 - Trecho Demonstrativo</x:v>
      </x:c>
      <x:c r="B82" s="74" t="str">
        <x:v>2.9.4</x:v>
      </x:c>
      <x:c r="C82" s="74" t="n">
        <x:v>3</x:v>
      </x:c>
      <x:c r="D82" s="74" t="str">
        <x:v>Tarefa</x:v>
      </x:c>
      <x:c r="E82" s="74" t="str">
        <x:v>2.9</x:v>
      </x:c>
      <x:c r="F82" s="74" t="str">
        <x:v>Recebimento e entrega do trecho</x:v>
      </x:c>
      <x:c r="G82" s="75" t="str">
        <x:v>Vistoria, aceite e entrega formal do trecho.</x:v>
      </x:c>
      <x:c r="H82" s="74" t="str"/>
      <x:c r="I82" s="74" t="str"/>
      <x:c r="J82" s="74" t="str">
        <x:v>João Ferreira</x:v>
      </x:c>
      <x:c r="K82" s="75" t="str">
        <x:v>Termo de recebimento emitido.</x:v>
      </x:c>
      <x:c r="L82" s="77" t="str"/>
      <x:c r="M82" s="77" t="str"/>
      <x:c r="N82" s="77" t="str"/>
      <x:c r="O82" s="77" t="str">
        <x:f>IF(OR(I82="",AND(L82="",M82="",N82="")),"",I82*(N(L82)+N(M82)+N(N82)))</x:f>
      </x:c>
      <x:c r="P82" s="76" t="n">
        <x:v>46559</x:v>
      </x:c>
      <x:c r="Q82" s="76" t="n">
        <x:v>46568</x:v>
      </x:c>
      <x:c r="R82" s="74" t="n">
        <x:v>8</x:v>
      </x:c>
      <x:c r="S82" s="74" t="str">
        <x:v>Percentual</x:v>
      </x:c>
      <x:c r="T82" s="78" t="n">
        <x:v>0</x:v>
      </x:c>
      <x:c r="U82" s="74" t="str"/>
      <x:c r="V82" s="74" t="str"/>
      <x:c r="W82" s="74" t="str"/>
      <x:c r="X82" s="74" t="str">
        <x:v>2.9.2,2.9.3</x:v>
      </x:c>
      <x:c r="Y82" s="74" t="str">
        <x:v>Não iniciada</x:v>
      </x:c>
    </x:row>
  </x:sheetData>
  <x:mergeCells>
    <x:mergeCell ref="A1:Y1"/>
    <x:mergeCell ref="A2:Y2"/>
  </x:mergeCells>
  <x:conditionalFormatting sqref="D5:D82">
    <x:cfRule type="expression" dxfId="4" priority="1">
      <x:formula>D5="Resumo"</x:formula>
    </x:cfRule>
    <x:cfRule type="expression" dxfId="5" priority="2">
      <x:formula>D5="Pacote"</x:formula>
    </x:cfRule>
  </x:conditionalFormatting>
  <x:conditionalFormatting sqref="Y5:Y82">
    <x:cfRule type="expression" dxfId="6" priority="3">
      <x:formula>Y5="Concluída"</x:formula>
    </x:cfRule>
    <x:cfRule type="expression" dxfId="7" priority="4">
      <x:formula>Y5="Em andamento"</x:formula>
    </x:cfRule>
    <x:cfRule type="expression" dxfId="8" priority="5">
      <x:formula>Y5="Não iniciada"</x:formula>
    </x:cfRule>
  </x:conditionalFormatting>
  <x:dataValidations count="3">
    <x:dataValidation type="list" sqref="D5:D82">
      <x:formula1>"Resumo,Pacote,Tarefa"</x:formula1>
    </x:dataValidation>
    <x:dataValidation type="list" sqref="S5:S82">
      <x:formula1>"Percentual,Quantidade"</x:formula1>
    </x:dataValidation>
    <x:dataValidation type="list" sqref="Y5:Y82">
      <x:formula1>"Não iniciada,Em andamento,Atrasada,Concluída"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</x:cols>
  <x:sheetData>
    <x:row r="1" ht="20" customHeight="1">
      <x:c r="A1" s="86"/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0" customHeight="1">
      <x:c r="A2" s="86"/>
      <x:c r="B2" s="89" t="str">
        <x:v>E.A.P. — Revitalização do Complexo Administrativo - Aracaju</x:v>
      </x:c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6"/>
    </x:row>
    <x:row r="3" ht="20" customHeight="1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0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110" t="str">
        <x:v>Revitalização do Complexo Administrativo - Aracaju</x:v>
      </x:c>
      <x:c r="K4" s="111"/>
      <x:c r="L4" s="111"/>
      <x:c r="M4" s="111"/>
      <x:c r="N4" s="111"/>
      <x:c r="O4" s="111"/>
      <x:c r="P4" s="111"/>
      <x:c r="Q4" s="112"/>
      <x:c r="R4" s="86"/>
      <x:c r="S4" s="86"/>
      <x:c r="T4" s="86"/>
      <x:c r="U4" s="86"/>
      <x:c r="V4" s="86"/>
      <x:c r="W4" s="86"/>
      <x:c r="X4" s="86"/>
      <x:c r="Y4" s="86"/>
      <x:c r="Z4" s="86"/>
    </x:row>
    <x:row r="5" ht="20" customHeight="1">
      <x:c r="A5" s="86"/>
      <x:c r="B5" s="86"/>
      <x:c r="C5" s="86"/>
      <x:c r="D5" s="86"/>
      <x:c r="E5" s="86"/>
      <x:c r="F5" s="86"/>
      <x:c r="G5" s="86"/>
      <x:c r="H5" s="86"/>
      <x:c r="I5" s="86"/>
      <x:c r="J5" s="113"/>
      <x:c r="K5" s="114"/>
      <x:c r="L5" s="114"/>
      <x:c r="M5" s="114"/>
      <x:c r="N5" s="114"/>
      <x:c r="O5" s="114"/>
      <x:c r="P5" s="114"/>
      <x:c r="Q5" s="115"/>
      <x:c r="R5" s="86"/>
      <x:c r="S5" s="86"/>
      <x:c r="T5" s="86"/>
      <x:c r="U5" s="86"/>
      <x:c r="V5" s="86"/>
      <x:c r="W5" s="86"/>
      <x:c r="X5" s="86"/>
      <x:c r="Y5" s="86"/>
      <x:c r="Z5" s="86"/>
    </x:row>
    <x:row r="6" ht="20" customHeight="1">
      <x:c r="A6" s="86"/>
      <x:c r="B6" s="86"/>
      <x:c r="C6" s="86"/>
      <x:c r="D6" s="86"/>
      <x:c r="E6" s="86"/>
      <x:c r="F6" s="86"/>
      <x:c r="G6" s="86"/>
      <x:c r="H6" s="86"/>
      <x:c r="I6" s="86"/>
      <x:c r="J6" s="116"/>
      <x:c r="K6" s="117"/>
      <x:c r="L6" s="117"/>
      <x:c r="M6" s="117"/>
      <x:c r="N6" s="117"/>
      <x:c r="O6" s="117"/>
      <x:c r="P6" s="117"/>
      <x:c r="Q6" s="118"/>
      <x:c r="R6" s="86"/>
      <x:c r="S6" s="86"/>
      <x:c r="T6" s="86"/>
      <x:c r="U6" s="86"/>
      <x:c r="V6" s="86"/>
      <x:c r="W6" s="86"/>
      <x:c r="X6" s="86"/>
      <x:c r="Y6" s="86"/>
      <x:c r="Z6" s="86"/>
    </x:row>
    <x:row r="7" ht="20" customHeight="1">
      <x:c r="A7" s="86"/>
      <x:c r="B7" s="86"/>
      <x:c r="C7" s="86"/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 ht="20" customHeight="1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 ht="20" customHeight="1">
      <x:c r="A9" s="86"/>
      <x:c r="B9" s="123" t="str">
        <x:v>1.1 Gestão e Projetos</x:v>
      </x:c>
      <x:c r="C9" s="123"/>
      <x:c r="D9" s="123"/>
      <x:c r="E9" s="123" t="str">
        <x:v>1.2 Serviços Preliminares</x:v>
      </x:c>
      <x:c r="F9" s="123"/>
      <x:c r="G9" s="123"/>
      <x:c r="H9" s="123" t="str">
        <x:v>1.3 Estrutura</x:v>
      </x:c>
      <x:c r="I9" s="123"/>
      <x:c r="J9" s="123"/>
      <x:c r="K9" s="123" t="str">
        <x:v>1.4 Cobertura / Impermeab.</x:v>
      </x:c>
      <x:c r="L9" s="123"/>
      <x:c r="M9" s="123"/>
      <x:c r="N9" s="123" t="str">
        <x:v>1.5 Elétrica</x:v>
      </x:c>
      <x:c r="O9" s="123"/>
      <x:c r="P9" s="123"/>
      <x:c r="Q9" s="123" t="str">
        <x:v>1.6 Hidrossanitária</x:v>
      </x:c>
      <x:c r="R9" s="123"/>
      <x:c r="S9" s="123"/>
      <x:c r="T9" s="123" t="str">
        <x:v>1.7 Arquitetura</x:v>
      </x:c>
      <x:c r="U9" s="123"/>
      <x:c r="V9" s="123"/>
      <x:c r="W9" s="123" t="str">
        <x:v>1.8 Climatização</x:v>
      </x:c>
      <x:c r="X9" s="123"/>
      <x:c r="Y9" s="123"/>
      <x:c r="Z9" s="86"/>
    </x:row>
    <x:row r="10" ht="20" customHeight="1">
      <x:c r="A10" s="86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  <x:c r="P10" s="123"/>
      <x:c r="Q10" s="123"/>
      <x:c r="R10" s="123"/>
      <x:c r="S10" s="123"/>
      <x:c r="T10" s="123"/>
      <x:c r="U10" s="123"/>
      <x:c r="V10" s="123"/>
      <x:c r="W10" s="123"/>
      <x:c r="X10" s="123"/>
      <x:c r="Y10" s="123"/>
      <x:c r="Z10" s="86"/>
    </x:row>
    <x:row r="11" ht="20" customHeight="1">
      <x:c r="A11" s="86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  <x:c r="P11" s="123"/>
      <x:c r="Q11" s="123"/>
      <x:c r="R11" s="123"/>
      <x:c r="S11" s="123"/>
      <x:c r="T11" s="123"/>
      <x:c r="U11" s="123"/>
      <x:c r="V11" s="123"/>
      <x:c r="W11" s="123"/>
      <x:c r="X11" s="123"/>
      <x:c r="Y11" s="123"/>
      <x:c r="Z11" s="86"/>
    </x:row>
    <x:row r="12" ht="20" customHeight="1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 ht="20" customHeight="1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 ht="20" customHeight="1">
      <x:c r="A14" s="86"/>
      <x:c r="B14" s="128" t="str">
        <x:v>1.1.1
Planejamento</x:v>
      </x:c>
      <x:c r="C14" s="128"/>
      <x:c r="D14" s="128"/>
      <x:c r="E14" s="128" t="str">
        <x:v>1.2.1
Canteiro</x:v>
      </x:c>
      <x:c r="F14" s="128"/>
      <x:c r="G14" s="128"/>
      <x:c r="H14" s="128" t="str">
        <x:v>1.3.1
Diagnóstico</x:v>
      </x:c>
      <x:c r="I14" s="128"/>
      <x:c r="J14" s="128"/>
      <x:c r="K14" s="128" t="str">
        <x:v>1.4.1
Telhas</x:v>
      </x:c>
      <x:c r="L14" s="128"/>
      <x:c r="M14" s="128"/>
      <x:c r="N14" s="128" t="str">
        <x:v>1.5.1
Quadros</x:v>
      </x:c>
      <x:c r="O14" s="128"/>
      <x:c r="P14" s="128"/>
      <x:c r="Q14" s="128" t="str">
        <x:v>1.6.1
Água</x:v>
      </x:c>
      <x:c r="R14" s="128"/>
      <x:c r="S14" s="128"/>
      <x:c r="T14" s="128" t="str">
        <x:v>1.7.1
Alvenaria</x:v>
      </x:c>
      <x:c r="U14" s="128"/>
      <x:c r="V14" s="128"/>
      <x:c r="W14" s="128" t="str">
        <x:v>1.8.1
HVAC / drenos</x:v>
      </x:c>
      <x:c r="X14" s="128"/>
      <x:c r="Y14" s="128"/>
      <x:c r="Z14" s="86"/>
    </x:row>
    <x:row r="15" ht="20" customHeight="1">
      <x:c r="A15" s="86"/>
      <x:c r="B15" s="128"/>
      <x:c r="C15" s="128"/>
      <x:c r="D15" s="128"/>
      <x:c r="E15" s="128"/>
      <x:c r="F15" s="128"/>
      <x:c r="G15" s="128"/>
      <x:c r="H15" s="128"/>
      <x:c r="I15" s="128"/>
      <x:c r="J15" s="128"/>
      <x:c r="K15" s="128"/>
      <x:c r="L15" s="128"/>
      <x:c r="M15" s="128"/>
      <x:c r="N15" s="128"/>
      <x:c r="O15" s="128"/>
      <x:c r="P15" s="128"/>
      <x:c r="Q15" s="128"/>
      <x:c r="R15" s="128"/>
      <x:c r="S15" s="128"/>
      <x:c r="T15" s="128"/>
      <x:c r="U15" s="128"/>
      <x:c r="V15" s="128"/>
      <x:c r="W15" s="128"/>
      <x:c r="X15" s="128"/>
      <x:c r="Y15" s="128"/>
      <x:c r="Z15" s="86"/>
    </x:row>
    <x:row r="16" ht="20" customHeight="1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 ht="20" customHeight="1">
      <x:c r="A17" s="86"/>
      <x:c r="B17" s="128" t="str">
        <x:v>1.1.2
Levantamento</x:v>
      </x:c>
      <x:c r="C17" s="128"/>
      <x:c r="D17" s="128"/>
      <x:c r="E17" s="128" t="str">
        <x:v>1.2.2
Proteções</x:v>
      </x:c>
      <x:c r="F17" s="128"/>
      <x:c r="G17" s="128"/>
      <x:c r="H17" s="128" t="str">
        <x:v>1.3.2
Recuperação</x:v>
      </x:c>
      <x:c r="I17" s="128"/>
      <x:c r="J17" s="128"/>
      <x:c r="K17" s="128" t="str">
        <x:v>1.4.2
Calhas e rufos</x:v>
      </x:c>
      <x:c r="L17" s="128"/>
      <x:c r="M17" s="128"/>
      <x:c r="N17" s="128" t="str">
        <x:v>1.5.2
Distribuição</x:v>
      </x:c>
      <x:c r="O17" s="128"/>
      <x:c r="P17" s="128"/>
      <x:c r="Q17" s="128" t="str">
        <x:v>1.6.2
Esgoto</x:v>
      </x:c>
      <x:c r="R17" s="128"/>
      <x:c r="S17" s="128"/>
      <x:c r="T17" s="128" t="str">
        <x:v>1.7.2
Revestimentos</x:v>
      </x:c>
      <x:c r="U17" s="128"/>
      <x:c r="V17" s="128"/>
      <x:c r="W17" s="86"/>
      <x:c r="X17" s="86"/>
      <x:c r="Y17" s="86"/>
      <x:c r="Z17" s="86"/>
    </x:row>
    <x:row r="18" ht="20" customHeight="1">
      <x:c r="A18" s="86"/>
      <x:c r="B18" s="128"/>
      <x:c r="C18" s="128"/>
      <x:c r="D18" s="128"/>
      <x:c r="E18" s="128"/>
      <x:c r="F18" s="128"/>
      <x:c r="G18" s="128"/>
      <x:c r="H18" s="128"/>
      <x:c r="I18" s="128"/>
      <x:c r="J18" s="128"/>
      <x:c r="K18" s="128"/>
      <x:c r="L18" s="128"/>
      <x:c r="M18" s="128"/>
      <x:c r="N18" s="128"/>
      <x:c r="O18" s="128"/>
      <x:c r="P18" s="128"/>
      <x:c r="Q18" s="128"/>
      <x:c r="R18" s="128"/>
      <x:c r="S18" s="128"/>
      <x:c r="T18" s="128"/>
      <x:c r="U18" s="128"/>
      <x:c r="V18" s="128"/>
      <x:c r="W18" s="86"/>
      <x:c r="X18" s="86"/>
      <x:c r="Y18" s="86"/>
      <x:c r="Z18" s="86"/>
    </x:row>
    <x:row r="19" ht="20" customHeight="1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 ht="20" customHeight="1">
      <x:c r="A20" s="86"/>
      <x:c r="B20" s="128" t="str">
        <x:v>1.1.3
Compatibilização</x:v>
      </x:c>
      <x:c r="C20" s="128"/>
      <x:c r="D20" s="128"/>
      <x:c r="E20" s="128" t="str">
        <x:v>1.2.3
Demolições</x:v>
      </x:c>
      <x:c r="F20" s="128"/>
      <x:c r="G20" s="128"/>
      <x:c r="H20" s="128" t="str">
        <x:v>1.3.3
Reforço</x:v>
      </x:c>
      <x:c r="I20" s="128"/>
      <x:c r="J20" s="128"/>
      <x:c r="K20" s="128" t="str">
        <x:v>1.4.3
Impermeabilização</x:v>
      </x:c>
      <x:c r="L20" s="128"/>
      <x:c r="M20" s="128"/>
      <x:c r="N20" s="128" t="str">
        <x:v>1.5.3
LED</x:v>
      </x:c>
      <x:c r="O20" s="128"/>
      <x:c r="P20" s="128"/>
      <x:c r="Q20" s="128" t="str">
        <x:v>1.6.3
Louças/metais</x:v>
      </x:c>
      <x:c r="R20" s="128"/>
      <x:c r="S20" s="128"/>
      <x:c r="T20" s="128" t="str">
        <x:v>1.7.3
Pisos</x:v>
      </x:c>
      <x:c r="U20" s="128"/>
      <x:c r="V20" s="128"/>
      <x:c r="W20" s="86"/>
      <x:c r="X20" s="86"/>
      <x:c r="Y20" s="86"/>
      <x:c r="Z20" s="86"/>
    </x:row>
    <x:row r="21" ht="20" customHeight="1">
      <x:c r="A21" s="86"/>
      <x:c r="B21" s="128"/>
      <x:c r="C21" s="128"/>
      <x:c r="D21" s="128"/>
      <x:c r="E21" s="128"/>
      <x:c r="F21" s="128"/>
      <x:c r="G21" s="128"/>
      <x:c r="H21" s="128"/>
      <x:c r="I21" s="128"/>
      <x:c r="J21" s="128"/>
      <x:c r="K21" s="128"/>
      <x:c r="L21" s="128"/>
      <x:c r="M21" s="128"/>
      <x:c r="N21" s="128"/>
      <x:c r="O21" s="128"/>
      <x:c r="P21" s="128"/>
      <x:c r="Q21" s="128"/>
      <x:c r="R21" s="128"/>
      <x:c r="S21" s="128"/>
      <x:c r="T21" s="128"/>
      <x:c r="U21" s="128"/>
      <x:c r="V21" s="128"/>
      <x:c r="W21" s="86"/>
      <x:c r="X21" s="86"/>
      <x:c r="Y21" s="86"/>
      <x:c r="Z21" s="86"/>
    </x:row>
    <x:row r="22" ht="20" customHeight="1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 ht="20" customHeight="1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128" t="str">
        <x:v>1.5.4
SPDA</x:v>
      </x:c>
      <x:c r="O23" s="128"/>
      <x:c r="P23" s="128"/>
      <x:c r="Q23" s="86"/>
      <x:c r="R23" s="86"/>
      <x:c r="S23" s="86"/>
      <x:c r="T23" s="128" t="str">
        <x:v>1.7.6
Pintura</x:v>
      </x:c>
      <x:c r="U23" s="128"/>
      <x:c r="V23" s="128"/>
      <x:c r="W23" s="86"/>
      <x:c r="X23" s="86"/>
      <x:c r="Y23" s="86"/>
      <x:c r="Z23" s="86"/>
    </x:row>
    <x:row r="24" ht="20" customHeight="1">
      <x:c r="A24" s="86"/>
      <x:c r="B24" s="86"/>
      <x:c r="C24" s="86"/>
      <x:c r="D24" s="86"/>
      <x:c r="E24" s="123" t="str">
        <x:v>1.9 Entrega</x:v>
      </x:c>
      <x:c r="F24" s="123"/>
      <x:c r="G24" s="123"/>
      <x:c r="H24" s="86"/>
      <x:c r="I24" s="86"/>
      <x:c r="J24" s="86"/>
      <x:c r="K24" s="86"/>
      <x:c r="L24" s="86"/>
      <x:c r="M24" s="86"/>
      <x:c r="N24" s="128"/>
      <x:c r="O24" s="128"/>
      <x:c r="P24" s="128"/>
      <x:c r="Q24" s="86"/>
      <x:c r="R24" s="86"/>
      <x:c r="S24" s="86"/>
      <x:c r="T24" s="128"/>
      <x:c r="U24" s="128"/>
      <x:c r="V24" s="128"/>
      <x:c r="W24" s="86"/>
      <x:c r="X24" s="86"/>
      <x:c r="Y24" s="86"/>
      <x:c r="Z24" s="86"/>
    </x:row>
    <x:row r="25" ht="20" customHeight="1">
      <x:c r="A25" s="86"/>
      <x:c r="B25" s="86"/>
      <x:c r="C25" s="86"/>
      <x:c r="D25" s="86"/>
      <x:c r="E25" s="123"/>
      <x:c r="F25" s="123"/>
      <x:c r="G25" s="123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 ht="20" customHeight="1">
      <x:c r="A26" s="86"/>
      <x:c r="B26" s="86"/>
      <x:c r="C26" s="86"/>
      <x:c r="D26" s="86"/>
      <x:c r="E26" s="123"/>
      <x:c r="F26" s="123"/>
      <x:c r="G26" s="123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 ht="20" customHeight="1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 ht="20" customHeight="1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 ht="20" customHeight="1">
      <x:c r="A29" s="86"/>
      <x:c r="B29" s="86"/>
      <x:c r="C29" s="86"/>
      <x:c r="D29" s="86"/>
      <x:c r="E29" s="128" t="str">
        <x:v>1.9.1
Comissionamento</x:v>
      </x:c>
      <x:c r="F29" s="128"/>
      <x:c r="G29" s="128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 ht="20" customHeight="1">
      <x:c r="A30" s="86"/>
      <x:c r="B30" s="86"/>
      <x:c r="C30" s="86"/>
      <x:c r="D30" s="86"/>
      <x:c r="E30" s="128"/>
      <x:c r="F30" s="128"/>
      <x:c r="G30" s="128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 ht="20" customHeight="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 ht="20" customHeight="1">
      <x:c r="A32" s="86"/>
      <x:c r="B32" s="86"/>
      <x:c r="C32" s="86"/>
      <x:c r="D32" s="86"/>
      <x:c r="E32" s="128" t="str">
        <x:v>1.9.2
As built</x:v>
      </x:c>
      <x:c r="F32" s="128"/>
      <x:c r="G32" s="128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 ht="20" customHeight="1">
      <x:c r="A33" s="86"/>
      <x:c r="B33" s="86"/>
      <x:c r="C33" s="86"/>
      <x:c r="D33" s="86"/>
      <x:c r="E33" s="128"/>
      <x:c r="F33" s="128"/>
      <x:c r="G33" s="128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 ht="20" customHeight="1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 ht="20" customHeight="1">
      <x:c r="A35" s="86"/>
      <x:c r="B35" s="86"/>
      <x:c r="C35" s="86"/>
      <x:c r="D35" s="86"/>
      <x:c r="E35" s="128" t="str">
        <x:v>1.9.3
Limpeza</x:v>
      </x:c>
      <x:c r="F35" s="128"/>
      <x:c r="G35" s="128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 ht="20" customHeight="1">
      <x:c r="A36" s="86"/>
      <x:c r="B36" s="86"/>
      <x:c r="C36" s="86"/>
      <x:c r="D36" s="86"/>
      <x:c r="E36" s="128"/>
      <x:c r="F36" s="128"/>
      <x:c r="G36" s="128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 ht="20" customHeight="1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 ht="20" customHeight="1">
      <x:c r="A38" s="86"/>
      <x:c r="B38" s="86"/>
      <x:c r="C38" s="86"/>
      <x:c r="D38" s="86"/>
      <x:c r="E38" s="128" t="str">
        <x:v>1.9.4
Aceite</x:v>
      </x:c>
      <x:c r="F38" s="128"/>
      <x:c r="G38" s="128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 ht="20" customHeight="1">
      <x:c r="A39" s="86"/>
      <x:c r="B39" s="86"/>
      <x:c r="C39" s="86"/>
      <x:c r="D39" s="86"/>
      <x:c r="E39" s="128"/>
      <x:c r="F39" s="128"/>
      <x:c r="G39" s="128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 ht="20" customHeight="1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 ht="20" customHeight="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 ht="20" customHeight="1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 ht="20" customHeight="1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 ht="20" customHeight="1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 ht="20" customHeight="1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 ht="20" customHeight="1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 ht="20" customHeight="1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 ht="20" customHeight="1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 ht="20" customHeight="1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 ht="20" customHeight="1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 ht="20" customHeight="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 ht="20" customHeight="1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 ht="20" customHeight="1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 ht="20" customHeight="1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 ht="20" customHeight="1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 ht="20" customHeight="1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 ht="20" customHeight="1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 ht="20" customHeight="1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 ht="20" customHeight="1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 ht="20" customHeight="1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</x:sheetData>
  <x:mergeCells>
    <x:mergeCell ref="B2:Y2"/>
    <x:mergeCell ref="J4:Q6"/>
    <x:mergeCell ref="B9:D11"/>
    <x:mergeCell ref="B14:D15"/>
    <x:mergeCell ref="B17:D18"/>
    <x:mergeCell ref="B20:D21"/>
    <x:mergeCell ref="E9:G11"/>
    <x:mergeCell ref="E14:G15"/>
    <x:mergeCell ref="E17:G18"/>
    <x:mergeCell ref="E20:G21"/>
    <x:mergeCell ref="H9:J11"/>
    <x:mergeCell ref="H14:J15"/>
    <x:mergeCell ref="H17:J18"/>
    <x:mergeCell ref="H20:J21"/>
    <x:mergeCell ref="K9:M11"/>
    <x:mergeCell ref="K14:M15"/>
    <x:mergeCell ref="K17:M18"/>
    <x:mergeCell ref="K20:M21"/>
    <x:mergeCell ref="N9:P11"/>
    <x:mergeCell ref="N14:P15"/>
    <x:mergeCell ref="N17:P18"/>
    <x:mergeCell ref="N20:P21"/>
    <x:mergeCell ref="N23:P24"/>
    <x:mergeCell ref="Q9:S11"/>
    <x:mergeCell ref="Q14:S15"/>
    <x:mergeCell ref="Q17:S18"/>
    <x:mergeCell ref="Q20:S21"/>
    <x:mergeCell ref="T9:V11"/>
    <x:mergeCell ref="T14:V15"/>
    <x:mergeCell ref="T17:V18"/>
    <x:mergeCell ref="T20:V21"/>
    <x:mergeCell ref="T23:V24"/>
    <x:mergeCell ref="W9:Y11"/>
    <x:mergeCell ref="W14:Y15"/>
    <x:mergeCell ref="E24:G26"/>
    <x:mergeCell ref="E29:G30"/>
    <x:mergeCell ref="E32:G33"/>
    <x:mergeCell ref="E35:G36"/>
    <x:mergeCell ref="E38:G3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</x:cols>
  <x:sheetData>
    <x:row r="1" ht="20" customHeight="1">
      <x:c r="A1" s="86"/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 ht="20" customHeight="1">
      <x:c r="A2" s="86"/>
      <x:c r="B2" s="89" t="str">
        <x:v>E.A.P. — Pavimentação Rodoviária SE-100 - Trecho Demonstrativo</x:v>
      </x:c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6"/>
    </x:row>
    <x:row r="3" ht="20" customHeight="1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 ht="20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110" t="str">
        <x:v>Pavimentação Rodoviária SE-100 - Trecho Demonstrativo</x:v>
      </x:c>
      <x:c r="K4" s="111"/>
      <x:c r="L4" s="111"/>
      <x:c r="M4" s="111"/>
      <x:c r="N4" s="111"/>
      <x:c r="O4" s="111"/>
      <x:c r="P4" s="111"/>
      <x:c r="Q4" s="112"/>
      <x:c r="R4" s="86"/>
      <x:c r="S4" s="86"/>
      <x:c r="T4" s="86"/>
      <x:c r="U4" s="86"/>
      <x:c r="V4" s="86"/>
      <x:c r="W4" s="86"/>
      <x:c r="X4" s="86"/>
      <x:c r="Y4" s="86"/>
      <x:c r="Z4" s="86"/>
    </x:row>
    <x:row r="5" ht="20" customHeight="1">
      <x:c r="A5" s="86"/>
      <x:c r="B5" s="86"/>
      <x:c r="C5" s="86"/>
      <x:c r="D5" s="86"/>
      <x:c r="E5" s="86"/>
      <x:c r="F5" s="86"/>
      <x:c r="G5" s="86"/>
      <x:c r="H5" s="86"/>
      <x:c r="I5" s="86"/>
      <x:c r="J5" s="113"/>
      <x:c r="K5" s="114"/>
      <x:c r="L5" s="114"/>
      <x:c r="M5" s="114"/>
      <x:c r="N5" s="114"/>
      <x:c r="O5" s="114"/>
      <x:c r="P5" s="114"/>
      <x:c r="Q5" s="115"/>
      <x:c r="R5" s="86"/>
      <x:c r="S5" s="86"/>
      <x:c r="T5" s="86"/>
      <x:c r="U5" s="86"/>
      <x:c r="V5" s="86"/>
      <x:c r="W5" s="86"/>
      <x:c r="X5" s="86"/>
      <x:c r="Y5" s="86"/>
      <x:c r="Z5" s="86"/>
    </x:row>
    <x:row r="6" ht="20" customHeight="1">
      <x:c r="A6" s="86"/>
      <x:c r="B6" s="86"/>
      <x:c r="C6" s="86"/>
      <x:c r="D6" s="86"/>
      <x:c r="E6" s="86"/>
      <x:c r="F6" s="86"/>
      <x:c r="G6" s="86"/>
      <x:c r="H6" s="86"/>
      <x:c r="I6" s="86"/>
      <x:c r="J6" s="116"/>
      <x:c r="K6" s="117"/>
      <x:c r="L6" s="117"/>
      <x:c r="M6" s="117"/>
      <x:c r="N6" s="117"/>
      <x:c r="O6" s="117"/>
      <x:c r="P6" s="117"/>
      <x:c r="Q6" s="118"/>
      <x:c r="R6" s="86"/>
      <x:c r="S6" s="86"/>
      <x:c r="T6" s="86"/>
      <x:c r="U6" s="86"/>
      <x:c r="V6" s="86"/>
      <x:c r="W6" s="86"/>
      <x:c r="X6" s="86"/>
      <x:c r="Y6" s="86"/>
      <x:c r="Z6" s="86"/>
    </x:row>
    <x:row r="7" ht="20" customHeight="1">
      <x:c r="A7" s="86"/>
      <x:c r="B7" s="86"/>
      <x:c r="C7" s="86"/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 ht="20" customHeight="1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 ht="20" customHeight="1">
      <x:c r="A9" s="86"/>
      <x:c r="B9" s="133" t="str">
        <x:v>2.1 Gestão / Controle</x:v>
      </x:c>
      <x:c r="C9" s="133"/>
      <x:c r="D9" s="133"/>
      <x:c r="E9" s="133" t="str">
        <x:v>2.2 Preliminares</x:v>
      </x:c>
      <x:c r="F9" s="133"/>
      <x:c r="G9" s="133"/>
      <x:c r="H9" s="133" t="str">
        <x:v>2.3 Terraplenagem</x:v>
      </x:c>
      <x:c r="I9" s="133"/>
      <x:c r="J9" s="133"/>
      <x:c r="K9" s="133" t="str">
        <x:v>2.4 Drenagem</x:v>
      </x:c>
      <x:c r="L9" s="133"/>
      <x:c r="M9" s="133"/>
      <x:c r="N9" s="133" t="str">
        <x:v>2.5 Pavimentação</x:v>
      </x:c>
      <x:c r="O9" s="133"/>
      <x:c r="P9" s="133"/>
      <x:c r="Q9" s="133" t="str">
        <x:v>2.6 Acessos</x:v>
      </x:c>
      <x:c r="R9" s="133"/>
      <x:c r="S9" s="133"/>
      <x:c r="T9" s="133" t="str">
        <x:v>2.7 Sinalização</x:v>
      </x:c>
      <x:c r="U9" s="133"/>
      <x:c r="V9" s="133"/>
      <x:c r="W9" s="133" t="str">
        <x:v>2.8 Meio Ambiente</x:v>
      </x:c>
      <x:c r="X9" s="133"/>
      <x:c r="Y9" s="133"/>
      <x:c r="Z9" s="86"/>
    </x:row>
    <x:row r="10" ht="20" customHeight="1">
      <x:c r="A10" s="86"/>
      <x:c r="B10" s="133"/>
      <x:c r="C10" s="133"/>
      <x:c r="D10" s="133"/>
      <x:c r="E10" s="133"/>
      <x:c r="F10" s="133"/>
      <x:c r="G10" s="133"/>
      <x:c r="H10" s="133"/>
      <x:c r="I10" s="133"/>
      <x:c r="J10" s="133"/>
      <x:c r="K10" s="133"/>
      <x:c r="L10" s="133"/>
      <x:c r="M10" s="133"/>
      <x:c r="N10" s="133"/>
      <x:c r="O10" s="133"/>
      <x:c r="P10" s="133"/>
      <x:c r="Q10" s="133"/>
      <x:c r="R10" s="133"/>
      <x:c r="S10" s="133"/>
      <x:c r="T10" s="133"/>
      <x:c r="U10" s="133"/>
      <x:c r="V10" s="133"/>
      <x:c r="W10" s="133"/>
      <x:c r="X10" s="133"/>
      <x:c r="Y10" s="133"/>
      <x:c r="Z10" s="86"/>
    </x:row>
    <x:row r="11" ht="20" customHeight="1">
      <x:c r="A11" s="86"/>
      <x:c r="B11" s="133"/>
      <x:c r="C11" s="133"/>
      <x:c r="D11" s="133"/>
      <x:c r="E11" s="133"/>
      <x:c r="F11" s="133"/>
      <x:c r="G11" s="133"/>
      <x:c r="H11" s="133"/>
      <x:c r="I11" s="133"/>
      <x:c r="J11" s="133"/>
      <x:c r="K11" s="133"/>
      <x:c r="L11" s="133"/>
      <x:c r="M11" s="133"/>
      <x:c r="N11" s="133"/>
      <x:c r="O11" s="133"/>
      <x:c r="P11" s="133"/>
      <x:c r="Q11" s="133"/>
      <x:c r="R11" s="133"/>
      <x:c r="S11" s="133"/>
      <x:c r="T11" s="133"/>
      <x:c r="U11" s="133"/>
      <x:c r="V11" s="133"/>
      <x:c r="W11" s="133"/>
      <x:c r="X11" s="133"/>
      <x:c r="Y11" s="133"/>
      <x:c r="Z11" s="86"/>
    </x:row>
    <x:row r="12" ht="20" customHeight="1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 ht="20" customHeight="1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 ht="20" customHeight="1">
      <x:c r="A14" s="86"/>
      <x:c r="B14" s="128" t="str">
        <x:v>2.1.1
Planejamento</x:v>
      </x:c>
      <x:c r="C14" s="128"/>
      <x:c r="D14" s="128"/>
      <x:c r="E14" s="128" t="str">
        <x:v>2.2.1
Canteiro</x:v>
      </x:c>
      <x:c r="F14" s="128"/>
      <x:c r="G14" s="128"/>
      <x:c r="H14" s="128" t="str">
        <x:v>2.3.1
Corte/transporte</x:v>
      </x:c>
      <x:c r="I14" s="128"/>
      <x:c r="J14" s="128"/>
      <x:c r="K14" s="128" t="str">
        <x:v>2.4.1
Bueiros</x:v>
      </x:c>
      <x:c r="L14" s="128"/>
      <x:c r="M14" s="128"/>
      <x:c r="N14" s="128" t="str">
        <x:v>2.5.1
Sub-base</x:v>
      </x:c>
      <x:c r="O14" s="128"/>
      <x:c r="P14" s="128"/>
      <x:c r="Q14" s="128" t="str">
        <x:v>2.6.1
Acostamentos</x:v>
      </x:c>
      <x:c r="R14" s="128"/>
      <x:c r="S14" s="128"/>
      <x:c r="T14" s="128" t="str">
        <x:v>2.7.1
Horizontal</x:v>
      </x:c>
      <x:c r="U14" s="128"/>
      <x:c r="V14" s="128"/>
      <x:c r="W14" s="128" t="str">
        <x:v>2.8.1
Áreas apoio</x:v>
      </x:c>
      <x:c r="X14" s="128"/>
      <x:c r="Y14" s="128"/>
      <x:c r="Z14" s="86"/>
    </x:row>
    <x:row r="15" ht="20" customHeight="1">
      <x:c r="A15" s="86"/>
      <x:c r="B15" s="128"/>
      <x:c r="C15" s="128"/>
      <x:c r="D15" s="128"/>
      <x:c r="E15" s="128"/>
      <x:c r="F15" s="128"/>
      <x:c r="G15" s="128"/>
      <x:c r="H15" s="128"/>
      <x:c r="I15" s="128"/>
      <x:c r="J15" s="128"/>
      <x:c r="K15" s="128"/>
      <x:c r="L15" s="128"/>
      <x:c r="M15" s="128"/>
      <x:c r="N15" s="128"/>
      <x:c r="O15" s="128"/>
      <x:c r="P15" s="128"/>
      <x:c r="Q15" s="128"/>
      <x:c r="R15" s="128"/>
      <x:c r="S15" s="128"/>
      <x:c r="T15" s="128"/>
      <x:c r="U15" s="128"/>
      <x:c r="V15" s="128"/>
      <x:c r="W15" s="128"/>
      <x:c r="X15" s="128"/>
      <x:c r="Y15" s="128"/>
      <x:c r="Z15" s="86"/>
    </x:row>
    <x:row r="16" ht="20" customHeight="1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 ht="20" customHeight="1">
      <x:c r="A17" s="86"/>
      <x:c r="B17" s="128" t="str">
        <x:v>2.1.2
Topografia</x:v>
      </x:c>
      <x:c r="C17" s="128"/>
      <x:c r="D17" s="128"/>
      <x:c r="E17" s="128" t="str">
        <x:v>2.2.2
Tráfego</x:v>
      </x:c>
      <x:c r="F17" s="128"/>
      <x:c r="G17" s="128"/>
      <x:c r="H17" s="128" t="str">
        <x:v>2.3.2
Aterros</x:v>
      </x:c>
      <x:c r="I17" s="128"/>
      <x:c r="J17" s="128"/>
      <x:c r="K17" s="128" t="str">
        <x:v>2.4.2
Sarjetas/valetas</x:v>
      </x:c>
      <x:c r="L17" s="128"/>
      <x:c r="M17" s="128"/>
      <x:c r="N17" s="128" t="str">
        <x:v>2.5.2
Base BGS</x:v>
      </x:c>
      <x:c r="O17" s="128"/>
      <x:c r="P17" s="128"/>
      <x:c r="Q17" s="128" t="str">
        <x:v>2.6.2
Interseções</x:v>
      </x:c>
      <x:c r="R17" s="128"/>
      <x:c r="S17" s="128"/>
      <x:c r="T17" s="128" t="str">
        <x:v>2.7.2
Vertical</x:v>
      </x:c>
      <x:c r="U17" s="128"/>
      <x:c r="V17" s="128"/>
      <x:c r="W17" s="128" t="str">
        <x:v>2.8.2
Taludes/vegetação</x:v>
      </x:c>
      <x:c r="X17" s="128"/>
      <x:c r="Y17" s="128"/>
      <x:c r="Z17" s="86"/>
    </x:row>
    <x:row r="18" ht="20" customHeight="1">
      <x:c r="A18" s="86"/>
      <x:c r="B18" s="128"/>
      <x:c r="C18" s="128"/>
      <x:c r="D18" s="128"/>
      <x:c r="E18" s="128"/>
      <x:c r="F18" s="128"/>
      <x:c r="G18" s="128"/>
      <x:c r="H18" s="128"/>
      <x:c r="I18" s="128"/>
      <x:c r="J18" s="128"/>
      <x:c r="K18" s="128"/>
      <x:c r="L18" s="128"/>
      <x:c r="M18" s="128"/>
      <x:c r="N18" s="128"/>
      <x:c r="O18" s="128"/>
      <x:c r="P18" s="128"/>
      <x:c r="Q18" s="128"/>
      <x:c r="R18" s="128"/>
      <x:c r="S18" s="128"/>
      <x:c r="T18" s="128"/>
      <x:c r="U18" s="128"/>
      <x:c r="V18" s="128"/>
      <x:c r="W18" s="128"/>
      <x:c r="X18" s="128"/>
      <x:c r="Y18" s="128"/>
      <x:c r="Z18" s="86"/>
    </x:row>
    <x:row r="19" ht="20" customHeight="1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 ht="20" customHeight="1">
      <x:c r="A20" s="86"/>
      <x:c r="B20" s="128" t="str">
        <x:v>2.1.3
Liberações</x:v>
      </x:c>
      <x:c r="C20" s="128"/>
      <x:c r="D20" s="128"/>
      <x:c r="E20" s="128" t="str">
        <x:v>2.2.3
Limpeza</x:v>
      </x:c>
      <x:c r="F20" s="128"/>
      <x:c r="G20" s="128"/>
      <x:c r="H20" s="128" t="str">
        <x:v>2.3.3
Subleito</x:v>
      </x:c>
      <x:c r="I20" s="128"/>
      <x:c r="J20" s="128"/>
      <x:c r="K20" s="128" t="str">
        <x:v>2.4.3
Subdrenos</x:v>
      </x:c>
      <x:c r="L20" s="128"/>
      <x:c r="M20" s="128"/>
      <x:c r="N20" s="128" t="str">
        <x:v>2.5.3
Imprimação</x:v>
      </x:c>
      <x:c r="O20" s="128"/>
      <x:c r="P20" s="128"/>
      <x:c r="Q20" s="86"/>
      <x:c r="R20" s="86"/>
      <x:c r="S20" s="86"/>
      <x:c r="T20" s="128" t="str">
        <x:v>2.7.3
Defensas</x:v>
      </x:c>
      <x:c r="U20" s="128"/>
      <x:c r="V20" s="128"/>
      <x:c r="W20" s="86"/>
      <x:c r="X20" s="86"/>
      <x:c r="Y20" s="86"/>
      <x:c r="Z20" s="86"/>
    </x:row>
    <x:row r="21" ht="20" customHeight="1">
      <x:c r="A21" s="86"/>
      <x:c r="B21" s="128"/>
      <x:c r="C21" s="128"/>
      <x:c r="D21" s="128"/>
      <x:c r="E21" s="128"/>
      <x:c r="F21" s="128"/>
      <x:c r="G21" s="128"/>
      <x:c r="H21" s="128"/>
      <x:c r="I21" s="128"/>
      <x:c r="J21" s="128"/>
      <x:c r="K21" s="128"/>
      <x:c r="L21" s="128"/>
      <x:c r="M21" s="128"/>
      <x:c r="N21" s="128"/>
      <x:c r="O21" s="128"/>
      <x:c r="P21" s="128"/>
      <x:c r="Q21" s="86"/>
      <x:c r="R21" s="86"/>
      <x:c r="S21" s="86"/>
      <x:c r="T21" s="128"/>
      <x:c r="U21" s="128"/>
      <x:c r="V21" s="128"/>
      <x:c r="W21" s="86"/>
      <x:c r="X21" s="86"/>
      <x:c r="Y21" s="86"/>
      <x:c r="Z21" s="86"/>
    </x:row>
    <x:row r="22" ht="20" customHeight="1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 ht="20" customHeight="1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128" t="str">
        <x:v>2.5.5
CBUQ</x:v>
      </x:c>
      <x:c r="O23" s="128"/>
      <x:c r="P23" s="128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 ht="20" customHeight="1">
      <x:c r="A24" s="86"/>
      <x:c r="B24" s="86"/>
      <x:c r="C24" s="86"/>
      <x:c r="D24" s="86"/>
      <x:c r="E24" s="133" t="str">
        <x:v>2.9 Entrega</x:v>
      </x:c>
      <x:c r="F24" s="133"/>
      <x:c r="G24" s="133"/>
      <x:c r="H24" s="86"/>
      <x:c r="I24" s="86"/>
      <x:c r="J24" s="86"/>
      <x:c r="K24" s="86"/>
      <x:c r="L24" s="86"/>
      <x:c r="M24" s="86"/>
      <x:c r="N24" s="128"/>
      <x:c r="O24" s="128"/>
      <x:c r="P24" s="128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 ht="20" customHeight="1">
      <x:c r="A25" s="86"/>
      <x:c r="B25" s="86"/>
      <x:c r="C25" s="86"/>
      <x:c r="D25" s="86"/>
      <x:c r="E25" s="133"/>
      <x:c r="F25" s="133"/>
      <x:c r="G25" s="133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 ht="20" customHeight="1">
      <x:c r="A26" s="86"/>
      <x:c r="B26" s="86"/>
      <x:c r="C26" s="86"/>
      <x:c r="D26" s="86"/>
      <x:c r="E26" s="133"/>
      <x:c r="F26" s="133"/>
      <x:c r="G26" s="133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 ht="20" customHeight="1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 ht="20" customHeight="1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 ht="20" customHeight="1">
      <x:c r="A29" s="86"/>
      <x:c r="B29" s="86"/>
      <x:c r="C29" s="86"/>
      <x:c r="D29" s="86"/>
      <x:c r="E29" s="128" t="str">
        <x:v>2.9.1
Ensaios finais</x:v>
      </x:c>
      <x:c r="F29" s="128"/>
      <x:c r="G29" s="128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 ht="20" customHeight="1">
      <x:c r="A30" s="86"/>
      <x:c r="B30" s="86"/>
      <x:c r="C30" s="86"/>
      <x:c r="D30" s="86"/>
      <x:c r="E30" s="128"/>
      <x:c r="F30" s="128"/>
      <x:c r="G30" s="128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 ht="20" customHeight="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 ht="20" customHeight="1">
      <x:c r="A32" s="86"/>
      <x:c r="B32" s="86"/>
      <x:c r="C32" s="86"/>
      <x:c r="D32" s="86"/>
      <x:c r="E32" s="128" t="str">
        <x:v>2.9.2
As built</x:v>
      </x:c>
      <x:c r="F32" s="128"/>
      <x:c r="G32" s="128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 ht="20" customHeight="1">
      <x:c r="A33" s="86"/>
      <x:c r="B33" s="86"/>
      <x:c r="C33" s="86"/>
      <x:c r="D33" s="86"/>
      <x:c r="E33" s="128"/>
      <x:c r="F33" s="128"/>
      <x:c r="G33" s="128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 ht="20" customHeight="1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 ht="20" customHeight="1">
      <x:c r="A35" s="86"/>
      <x:c r="B35" s="86"/>
      <x:c r="C35" s="86"/>
      <x:c r="D35" s="86"/>
      <x:c r="E35" s="128" t="str">
        <x:v>2.9.3
Desmobilização</x:v>
      </x:c>
      <x:c r="F35" s="128"/>
      <x:c r="G35" s="128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 ht="20" customHeight="1">
      <x:c r="A36" s="86"/>
      <x:c r="B36" s="86"/>
      <x:c r="C36" s="86"/>
      <x:c r="D36" s="86"/>
      <x:c r="E36" s="128"/>
      <x:c r="F36" s="128"/>
      <x:c r="G36" s="128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 ht="20" customHeight="1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 ht="20" customHeight="1">
      <x:c r="A38" s="86"/>
      <x:c r="B38" s="86"/>
      <x:c r="C38" s="86"/>
      <x:c r="D38" s="86"/>
      <x:c r="E38" s="128" t="str">
        <x:v>2.9.4
Recebimento</x:v>
      </x:c>
      <x:c r="F38" s="128"/>
      <x:c r="G38" s="128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 ht="20" customHeight="1">
      <x:c r="A39" s="86"/>
      <x:c r="B39" s="86"/>
      <x:c r="C39" s="86"/>
      <x:c r="D39" s="86"/>
      <x:c r="E39" s="128"/>
      <x:c r="F39" s="128"/>
      <x:c r="G39" s="128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 ht="20" customHeight="1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 ht="20" customHeight="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 ht="20" customHeight="1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 ht="20" customHeight="1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 ht="20" customHeight="1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 ht="20" customHeight="1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 ht="20" customHeight="1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 ht="20" customHeight="1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 ht="20" customHeight="1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 ht="20" customHeight="1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 ht="20" customHeight="1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 ht="20" customHeight="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 ht="20" customHeight="1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 ht="20" customHeight="1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 ht="20" customHeight="1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 ht="20" customHeight="1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 ht="20" customHeight="1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 ht="20" customHeight="1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 ht="20" customHeight="1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 ht="20" customHeight="1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 ht="20" customHeight="1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</x:sheetData>
  <x:mergeCells>
    <x:mergeCell ref="B2:Y2"/>
    <x:mergeCell ref="J4:Q6"/>
    <x:mergeCell ref="B9:D11"/>
    <x:mergeCell ref="B14:D15"/>
    <x:mergeCell ref="B17:D18"/>
    <x:mergeCell ref="B20:D21"/>
    <x:mergeCell ref="E9:G11"/>
    <x:mergeCell ref="E14:G15"/>
    <x:mergeCell ref="E17:G18"/>
    <x:mergeCell ref="E20:G21"/>
    <x:mergeCell ref="H9:J11"/>
    <x:mergeCell ref="H14:J15"/>
    <x:mergeCell ref="H17:J18"/>
    <x:mergeCell ref="H20:J21"/>
    <x:mergeCell ref="K9:M11"/>
    <x:mergeCell ref="K14:M15"/>
    <x:mergeCell ref="K17:M18"/>
    <x:mergeCell ref="K20:M21"/>
    <x:mergeCell ref="N9:P11"/>
    <x:mergeCell ref="N14:P15"/>
    <x:mergeCell ref="N17:P18"/>
    <x:mergeCell ref="N20:P21"/>
    <x:mergeCell ref="N23:P24"/>
    <x:mergeCell ref="Q9:S11"/>
    <x:mergeCell ref="Q14:S15"/>
    <x:mergeCell ref="Q17:S18"/>
    <x:mergeCell ref="T9:V11"/>
    <x:mergeCell ref="T14:V15"/>
    <x:mergeCell ref="T17:V18"/>
    <x:mergeCell ref="T20:V21"/>
    <x:mergeCell ref="W9:Y11"/>
    <x:mergeCell ref="W14:Y15"/>
    <x:mergeCell ref="W17:Y18"/>
    <x:mergeCell ref="E24:G26"/>
    <x:mergeCell ref="E29:G30"/>
    <x:mergeCell ref="E32:G33"/>
    <x:mergeCell ref="E35:G36"/>
    <x:mergeCell ref="E38:G39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4" max="4" width="14" hidden="0" customWidth="1"/>
    <x:col min="5" max="5" width="14" hidden="0" customWidth="1"/>
  </x:cols>
  <x:sheetData>
    <x:row r="1">
      <x:c r="A1" s="62" t="str">
        <x:v>DICIONÁRIO EAP — CAMPOS DE CADASTRO E IMPORTAÇÃO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</x:row>
    <x:row r="3">
      <x:c r="A3" s="72" t="str">
        <x:v>Campo</x:v>
      </x:c>
      <x:c r="B3" s="72" t="str">
        <x:v>Finalidade</x:v>
      </x:c>
      <x:c r="C3" s="72" t="str">
        <x:v>Exemplo</x:v>
      </x:c>
      <x:c r="D3" s="72" t="str">
        <x:v>Obrigatório</x:v>
      </x:c>
      <x:c r="E3" s="72" t="str">
        <x:v>Formato</x:v>
      </x:c>
      <x:c r="F3" s="72" t="str">
        <x:v>Integração</x:v>
      </x:c>
      <x:c r="G3" s="72" t="str">
        <x:v>Observação</x:v>
      </x:c>
      <x:c r="H3" s="72" t="str">
        <x:v>Origem orientadora</x:v>
      </x:c>
      <x:c r="I3" s="72" t="str">
        <x:v>Uso no Gantt</x:v>
      </x:c>
      <x:c r="J3" s="72" t="str">
        <x:v>Uso no Orçamento</x:v>
      </x:c>
      <x:c r="K3" s="72" t="str">
        <x:v>Uso no EAP gráfico</x:v>
      </x:c>
      <x:c r="L3" s="72" t="str">
        <x:v>Validação</x:v>
      </x:c>
    </x:row>
    <x:row r="4">
      <x:c r="A4" s="19" t="str">
        <x:v>Obra</x:v>
      </x:c>
      <x:c r="B4" s="19" t="str">
        <x:v>Vincular cada item à obra</x:v>
      </x:c>
      <x:c r="C4" s="19" t="str">
        <x:v>Revitalização...</x:v>
      </x:c>
      <x:c r="D4" s="19" t="str">
        <x:v>Sim</x:v>
      </x:c>
      <x:c r="E4" s="19" t="str">
        <x:v>Texto</x:v>
      </x:c>
      <x:c r="F4" s="19" t="str">
        <x:v>works</x:v>
      </x:c>
      <x:c r="G4" s="19" t="str">
        <x:v>Nome deve coincidir com OBRAS</x:v>
      </x:c>
      <x:c r="H4" s="19" t="str">
        <x:v>Modelo fornecido + ObraTop</x:v>
      </x:c>
      <x:c r="I4" s="19" t="str">
        <x:v>Sim</x:v>
      </x:c>
      <x:c r="J4" s="19" t="str">
        <x:v>Sim</x:v>
      </x:c>
      <x:c r="K4" s="19" t="str">
        <x:v>Sim</x:v>
      </x:c>
      <x:c r="L4" s="19" t="str">
        <x:v>Obra existente</x:v>
      </x:c>
    </x:row>
    <x:row r="5">
      <x:c r="A5" s="19" t="str">
        <x:v>EAP / WBS</x:v>
      </x:c>
      <x:c r="B5" s="19" t="str">
        <x:v>Código hierárquico da atividade</x:v>
      </x:c>
      <x:c r="C5" s="19" t="str">
        <x:v>1.7.6</x:v>
      </x:c>
      <x:c r="D5" s="19" t="str">
        <x:v>Sim</x:v>
      </x:c>
      <x:c r="E5" s="19" t="str">
        <x:v>Texto</x:v>
      </x:c>
      <x:c r="F5" s="19" t="str">
        <x:v>activities.wbs</x:v>
      </x:c>
      <x:c r="G5" s="19" t="str">
        <x:v>Não repetir dentro da mesma obra</x:v>
      </x:c>
      <x:c r="H5" s="19" t="str">
        <x:v>Modelo fornecido + MS Project</x:v>
      </x:c>
      <x:c r="I5" s="19" t="str">
        <x:v>Sim</x:v>
      </x:c>
      <x:c r="J5" s="19" t="str">
        <x:v>Recomendado</x:v>
      </x:c>
      <x:c r="K5" s="19" t="str">
        <x:v>Sim</x:v>
      </x:c>
      <x:c r="L5" s="19" t="str">
        <x:v>Hierarquia válida</x:v>
      </x:c>
    </x:row>
    <x:row r="6">
      <x:c r="A6" s="19" t="str">
        <x:v>EAP Pai</x:v>
      </x:c>
      <x:c r="B6" s="19" t="str">
        <x:v>Relacionar item ao pacote superior</x:v>
      </x:c>
      <x:c r="C6" s="19" t="str">
        <x:v>1.7</x:v>
      </x:c>
      <x:c r="D6" s="19" t="str">
        <x:v>Recomendado</x:v>
      </x:c>
      <x:c r="E6" s="19" t="str">
        <x:v>Texto</x:v>
      </x:c>
      <x:c r="F6" s="19" t="str">
        <x:v>EAP</x:v>
      </x:c>
      <x:c r="G6" s="19" t="str">
        <x:v>Usado para árvore hierárquica</x:v>
      </x:c>
      <x:c r="H6" s="19" t="str">
        <x:v>ObraTop</x:v>
      </x:c>
      <x:c r="I6" s="19" t="str">
        <x:v>Indireto</x:v>
      </x:c>
      <x:c r="J6" s="19" t="str">
        <x:v>Indireto</x:v>
      </x:c>
      <x:c r="K6" s="19" t="str">
        <x:v>Sim</x:v>
      </x:c>
      <x:c r="L6" s="19" t="str">
        <x:v>Código pai existente</x:v>
      </x:c>
    </x:row>
    <x:row r="7">
      <x:c r="A7" s="19" t="str">
        <x:v>Atividade</x:v>
      </x:c>
      <x:c r="B7" s="19" t="str">
        <x:v>Nome do pacote/tarefa</x:v>
      </x:c>
      <x:c r="C7" s="19" t="str">
        <x:v>Pintura interna e externa</x:v>
      </x:c>
      <x:c r="D7" s="19" t="str">
        <x:v>Sim</x:v>
      </x:c>
      <x:c r="E7" s="19" t="str">
        <x:v>Texto</x:v>
      </x:c>
      <x:c r="F7" s="19" t="str">
        <x:v>activities.name</x:v>
      </x:c>
      <x:c r="G7" s="19" t="str">
        <x:v>Descrição objetiva</x:v>
      </x:c>
      <x:c r="H7" s="19" t="str">
        <x:v>Modelo fornecido</x:v>
      </x:c>
      <x:c r="I7" s="19" t="str">
        <x:v>Sim</x:v>
      </x:c>
      <x:c r="J7" s="19" t="str">
        <x:v>Sim</x:v>
      </x:c>
      <x:c r="K7" s="19" t="str">
        <x:v>Sim</x:v>
      </x:c>
      <x:c r="L7" s="19" t="str">
        <x:v>Não vazio</x:v>
      </x:c>
    </x:row>
    <x:row r="8">
      <x:c r="A8" s="19" t="str">
        <x:v>Descrição / Escopo</x:v>
      </x:c>
      <x:c r="B8" s="19" t="str">
        <x:v>Detalhar serviço e limites</x:v>
      </x:c>
      <x:c r="C8" s="19" t="str">
        <x:v>Preparação, selador...</x:v>
      </x:c>
      <x:c r="D8" s="19" t="str">
        <x:v>Recomendado</x:v>
      </x:c>
      <x:c r="E8" s="19" t="str">
        <x:v>Texto</x:v>
      </x:c>
      <x:c r="F8" s="19" t="str">
        <x:v>EAP</x:v>
      </x:c>
      <x:c r="G8" s="19" t="str">
        <x:v>Evitar ambiguidades</x:v>
      </x:c>
      <x:c r="H8" s="19" t="str">
        <x:v>Modelo fornecido</x:v>
      </x:c>
      <x:c r="I8" s="19" t="str">
        <x:v>Não</x:v>
      </x:c>
      <x:c r="J8" s="19" t="str">
        <x:v>Sim</x:v>
      </x:c>
      <x:c r="K8" s="19" t="str">
        <x:v>Não</x:v>
      </x:c>
      <x:c r="L8" s="19" t="str">
        <x:v>Texto</x:v>
      </x:c>
    </x:row>
    <x:row r="9">
      <x:c r="A9" s="19" t="str">
        <x:v>Quantidade planejada</x:v>
      </x:c>
      <x:c r="B9" s="19" t="str">
        <x:v>Meta física</x:v>
      </x:c>
      <x:c r="C9" s="19" t="str">
        <x:v>14200</x:v>
      </x:c>
      <x:c r="D9" s="19" t="str">
        <x:v>Quando quantitativo</x:v>
      </x:c>
      <x:c r="E9" s="19" t="str">
        <x:v>Número</x:v>
      </x:c>
      <x:c r="F9" s="19" t="str">
        <x:v>activities.plannedQty</x:v>
      </x:c>
      <x:c r="G9" s="19" t="str">
        <x:v>Usada no avanço quantitativo</x:v>
      </x:c>
      <x:c r="H9" s="19" t="str">
        <x:v>ObraTop</x:v>
      </x:c>
      <x:c r="I9" s="19" t="str">
        <x:v>Sim</x:v>
      </x:c>
      <x:c r="J9" s="19" t="str">
        <x:v>Sim</x:v>
      </x:c>
      <x:c r="K9" s="19" t="str">
        <x:v>Não</x:v>
      </x:c>
      <x:c r="L9" s="19" t="str">
        <x:v>&gt;=0</x:v>
      </x:c>
    </x:row>
    <x:row r="10">
      <x:c r="A10" s="19" t="str">
        <x:v>Quantidade executada</x:v>
      </x:c>
      <x:c r="B10" s="19" t="str">
        <x:v>Produção acumulada</x:v>
      </x:c>
      <x:c r="C10" s="19" t="str">
        <x:v>3500</x:v>
      </x:c>
      <x:c r="D10" s="19" t="str">
        <x:v>Quando quantitativo</x:v>
      </x:c>
      <x:c r="E10" s="19" t="str">
        <x:v>Número</x:v>
      </x:c>
      <x:c r="F10" s="19" t="str">
        <x:v>activities.actualQty</x:v>
      </x:c>
      <x:c r="G10" s="19" t="str">
        <x:v>Gera avanço físico</x:v>
      </x:c>
      <x:c r="H10" s="19" t="str">
        <x:v>ObraTop</x:v>
      </x:c>
      <x:c r="I10" s="19" t="str">
        <x:v>Sim</x:v>
      </x:c>
      <x:c r="J10" s="19" t="str">
        <x:v>Não</x:v>
      </x:c>
      <x:c r="K10" s="19" t="str">
        <x:v>Não</x:v>
      </x:c>
      <x:c r="L10" s="19" t="str">
        <x:v>0 a planejada</x:v>
      </x:c>
    </x:row>
    <x:row r="11">
      <x:c r="A11" s="19" t="str">
        <x:v>Unidade</x:v>
      </x:c>
      <x:c r="B11" s="19" t="str">
        <x:v>Unidade física</x:v>
      </x:c>
      <x:c r="C11" s="19" t="str">
        <x:v>m²</x:v>
      </x:c>
      <x:c r="D11" s="19" t="str">
        <x:v>Quando quantitativo</x:v>
      </x:c>
      <x:c r="E11" s="19" t="str">
        <x:v>Texto</x:v>
      </x:c>
      <x:c r="F11" s="19" t="str">
        <x:v>activities.unit</x:v>
      </x:c>
      <x:c r="G11" s="19" t="str">
        <x:v>Compatível com orçamento</x:v>
      </x:c>
      <x:c r="H11" s="19" t="str">
        <x:v>Modelo fornecido</x:v>
      </x:c>
      <x:c r="I11" s="19" t="str">
        <x:v>Sim</x:v>
      </x:c>
      <x:c r="J11" s="19" t="str">
        <x:v>Sim</x:v>
      </x:c>
      <x:c r="K11" s="19" t="str">
        <x:v>Não</x:v>
      </x:c>
      <x:c r="L11" s="19" t="str">
        <x:v>Lista técnica</x:v>
      </x:c>
    </x:row>
    <x:row r="12">
      <x:c r="A12" s="19" t="str">
        <x:v>Início</x:v>
      </x:c>
      <x:c r="B12" s="19" t="str">
        <x:v>Data prevista/real</x:v>
      </x:c>
      <x:c r="C12" s="19" t="str">
        <x:v>01/07/2026</x:v>
      </x:c>
      <x:c r="D12" s="19" t="str">
        <x:v>Sim</x:v>
      </x:c>
      <x:c r="E12" s="19" t="str">
        <x:v>Data</x:v>
      </x:c>
      <x:c r="F12" s="19" t="str">
        <x:v>activities.start</x:v>
      </x:c>
      <x:c r="G12" s="19" t="str">
        <x:v>Calendário da atividade</x:v>
      </x:c>
      <x:c r="H12" s="19" t="str">
        <x:v>ObraTop V3.12</x:v>
      </x:c>
      <x:c r="I12" s="19" t="str">
        <x:v>Sim</x:v>
      </x:c>
      <x:c r="J12" s="19" t="str">
        <x:v>Não</x:v>
      </x:c>
      <x:c r="K12" s="19" t="str">
        <x:v>Não</x:v>
      </x:c>
      <x:c r="L12" s="19" t="str">
        <x:v>Data válida</x:v>
      </x:c>
    </x:row>
    <x:row r="13">
      <x:c r="A13" s="19" t="str">
        <x:v>Fim</x:v>
      </x:c>
      <x:c r="B13" s="19" t="str">
        <x:v>Data prevista/real</x:v>
      </x:c>
      <x:c r="C13" s="19" t="str">
        <x:v>31/07/2026</x:v>
      </x:c>
      <x:c r="D13" s="19" t="str">
        <x:v>Sim</x:v>
      </x:c>
      <x:c r="E13" s="19" t="str">
        <x:v>Data</x:v>
      </x:c>
      <x:c r="F13" s="19" t="str">
        <x:v>activities.end</x:v>
      </x:c>
      <x:c r="G13" s="19" t="str">
        <x:v>Calendário da atividade</x:v>
      </x:c>
      <x:c r="H13" s="19" t="str">
        <x:v>ObraTop V3.12</x:v>
      </x:c>
      <x:c r="I13" s="19" t="str">
        <x:v>Sim</x:v>
      </x:c>
      <x:c r="J13" s="19" t="str">
        <x:v>Não</x:v>
      </x:c>
      <x:c r="K13" s="19" t="str">
        <x:v>Não</x:v>
      </x:c>
      <x:c r="L13" s="19" t="str">
        <x:v>&gt;= início</x:v>
      </x:c>
    </x:row>
    <x:row r="14">
      <x:c r="A14" s="19" t="str">
        <x:v>Dias úteis</x:v>
      </x:c>
      <x:c r="B14" s="19" t="str">
        <x:v>Duração de trabalho</x:v>
      </x:c>
      <x:c r="C14" s="19" t="str">
        <x:v>22</x:v>
      </x:c>
      <x:c r="D14" s="19" t="str">
        <x:v>Recomendado</x:v>
      </x:c>
      <x:c r="E14" s="19" t="str">
        <x:v>Número</x:v>
      </x:c>
      <x:c r="F14" s="19" t="str">
        <x:v>activities.durationDays</x:v>
      </x:c>
      <x:c r="G14" s="19" t="str">
        <x:v>Recalculável pelo sistema</x:v>
      </x:c>
      <x:c r="H14" s="19" t="str">
        <x:v>ObraTop V3.12</x:v>
      </x:c>
      <x:c r="I14" s="19" t="str">
        <x:v>Sim</x:v>
      </x:c>
      <x:c r="J14" s="19" t="str">
        <x:v>Não</x:v>
      </x:c>
      <x:c r="K14" s="19" t="str">
        <x:v>Não</x:v>
      </x:c>
      <x:c r="L14" s="19" t="str">
        <x:v>&gt;0</x:v>
      </x:c>
    </x:row>
    <x:row r="15">
      <x:c r="A15" s="19" t="str">
        <x:v>Predecessoras</x:v>
      </x:c>
      <x:c r="B15" s="19" t="str">
        <x:v>Ligações entre tarefas</x:v>
      </x:c>
      <x:c r="C15" s="19" t="str">
        <x:v>1.7.2,1.5.2</x:v>
      </x:c>
      <x:c r="D15" s="19" t="str">
        <x:v>Opcional</x:v>
      </x:c>
      <x:c r="E15" s="19" t="str">
        <x:v>Texto</x:v>
      </x:c>
      <x:c r="F15" s="19" t="str">
        <x:v>activities.predecessors</x:v>
      </x:c>
      <x:c r="G15" s="19" t="str">
        <x:v>Base para lógica de rede</x:v>
      </x:c>
      <x:c r="H15" s="19" t="str">
        <x:v>ObraTop V3.12</x:v>
      </x:c>
      <x:c r="I15" s="19" t="str">
        <x:v>Sim</x:v>
      </x:c>
      <x:c r="J15" s="19" t="str">
        <x:v>Não</x:v>
      </x:c>
      <x:c r="K15" s="19" t="str">
        <x:v>Não</x:v>
      </x:c>
      <x:c r="L15" s="19" t="str">
        <x:v>Códigos EAP</x:v>
      </x:c>
    </x:row>
    <x:row r="16">
      <x:c r="A16" s="19" t="str">
        <x:v>Responsável</x:v>
      </x:c>
      <x:c r="B16" s="19" t="str">
        <x:v>Dono da execução</x:v>
      </x:c>
      <x:c r="C16" s="19" t="str">
        <x:v>Marina Alves</x:v>
      </x:c>
      <x:c r="D16" s="19" t="str">
        <x:v>Sim</x:v>
      </x:c>
      <x:c r="E16" s="19" t="str">
        <x:v>Texto</x:v>
      </x:c>
      <x:c r="F16" s="19" t="str">
        <x:v>activities.responsible</x:v>
      </x:c>
      <x:c r="G16" s="19" t="str">
        <x:v>Responsabilidade operacional</x:v>
      </x:c>
      <x:c r="H16" s="19" t="str">
        <x:v>Modelo fornecido</x:v>
      </x:c>
      <x:c r="I16" s="19" t="str">
        <x:v>Sim</x:v>
      </x:c>
      <x:c r="J16" s="19" t="str">
        <x:v>Não</x:v>
      </x:c>
      <x:c r="K16" s="19" t="str">
        <x:v>Não</x:v>
      </x:c>
      <x:c r="L16" s="19" t="str">
        <x:v>Texto</x:v>
      </x:c>
    </x:row>
    <x:row r="17">
      <x:c r="A17" s="19" t="str">
        <x:v>Critérios de aceitação</x:v>
      </x:c>
      <x:c r="B17" s="19" t="str">
        <x:v>Como a entrega será aceita</x:v>
      </x:c>
      <x:c r="C17" s="19" t="str">
        <x:v>Teste de estanqueidade</x:v>
      </x:c>
      <x:c r="D17" s="19" t="str">
        <x:v>Recomendado</x:v>
      </x:c>
      <x:c r="E17" s="19" t="str">
        <x:v>Texto</x:v>
      </x:c>
      <x:c r="F17" s="19" t="str">
        <x:v>EAP/Qualidade</x:v>
      </x:c>
      <x:c r="G17" s="19" t="str">
        <x:v>Integra qualidade e medição</x:v>
      </x:c>
      <x:c r="H17" s="19" t="str">
        <x:v>Modelo fornecido</x:v>
      </x:c>
      <x:c r="I17" s="19" t="str">
        <x:v>Não</x:v>
      </x:c>
      <x:c r="J17" s="19" t="str">
        <x:v>Sim</x:v>
      </x:c>
      <x:c r="K17" s="19" t="str">
        <x:v>Não</x:v>
      </x:c>
      <x:c r="L17" s="19" t="str">
        <x:v>Texto</x:v>
      </x:c>
    </x:row>
    <x:row r="18">
      <x:c r="A18" s="19" t="str">
        <x:v>Progresso (%)</x:v>
      </x:c>
      <x:c r="B18" s="19" t="str">
        <x:v>Avanço da atividade</x:v>
      </x:c>
      <x:c r="C18" s="19" t="str">
        <x:v>35</x:v>
      </x:c>
      <x:c r="D18" s="19" t="str">
        <x:v>Sim</x:v>
      </x:c>
      <x:c r="E18" s="19" t="str">
        <x:v>Número</x:v>
      </x:c>
      <x:c r="F18" s="19" t="str">
        <x:v>activities.progress</x:v>
      </x:c>
      <x:c r="G18" s="19" t="str">
        <x:v>0 a 100</x:v>
      </x:c>
      <x:c r="H18" s="19" t="str">
        <x:v>ObraTop</x:v>
      </x:c>
      <x:c r="I18" s="19" t="str">
        <x:v>Sim</x:v>
      </x:c>
      <x:c r="J18" s="19" t="str">
        <x:v>Não</x:v>
      </x:c>
      <x:c r="K18" s="19" t="str">
        <x:v>Não</x:v>
      </x:c>
      <x:c r="L18" s="19" t="str">
        <x:v>0..100</x:v>
      </x:c>
    </x:row>
    <x:row r="19">
      <x:c r="A19" s="19" t="str">
        <x:v>Controle de avanço</x:v>
      </x:c>
      <x:c r="B19" s="19" t="str">
        <x:v>Método de avanço</x:v>
      </x:c>
      <x:c r="C19" s="19" t="str">
        <x:v>Quantidade</x:v>
      </x:c>
      <x:c r="D19" s="19" t="str">
        <x:v>Sim</x:v>
      </x:c>
      <x:c r="E19" s="19" t="str">
        <x:v>Lista</x:v>
      </x:c>
      <x:c r="F19" s="19" t="str">
        <x:v>activities.progressMode</x:v>
      </x:c>
      <x:c r="G19" s="19" t="str">
        <x:v>Percentual ou Quantidade</x:v>
      </x:c>
      <x:c r="H19" s="19" t="str">
        <x:v>ObraTop V3.12</x:v>
      </x:c>
      <x:c r="I19" s="19" t="str">
        <x:v>Sim</x:v>
      </x:c>
      <x:c r="J19" s="19" t="str">
        <x:v>Não</x:v>
      </x:c>
      <x:c r="K19" s="19" t="str">
        <x:v>Não</x:v>
      </x:c>
      <x:c r="L19" s="19" t="str">
        <x:v>Percentual/Quantidade</x:v>
      </x:c>
    </x:row>
    <x:row r="20">
      <x:c r="A20" s="19" t="str">
        <x:v>Status</x:v>
      </x:c>
      <x:c r="B20" s="19" t="str">
        <x:v>Situação atual</x:v>
      </x:c>
      <x:c r="C20" s="19" t="str">
        <x:v>Em andamento</x:v>
      </x:c>
      <x:c r="D20" s="19" t="str">
        <x:v>Sim</x:v>
      </x:c>
      <x:c r="E20" s="19" t="str">
        <x:v>Lista</x:v>
      </x:c>
      <x:c r="F20" s="19" t="str">
        <x:v>activities.status</x:v>
      </x:c>
      <x:c r="G20" s="19" t="str">
        <x:v>Semáforo operacional</x:v>
      </x:c>
      <x:c r="H20" s="19" t="str">
        <x:v>ObraTop</x:v>
      </x:c>
      <x:c r="I20" s="19" t="str">
        <x:v>Sim</x:v>
      </x:c>
      <x:c r="J20" s="19" t="str">
        <x:v>Não</x:v>
      </x:c>
      <x:c r="K20" s="19" t="str">
        <x:v>Não</x:v>
      </x:c>
      <x:c r="L20" s="19" t="str">
        <x:v>Lista</x:v>
      </x:c>
    </x:row>
    <x:row r="21">
      <x:c r="A21" s="19" t="str">
        <x:v>PU Material</x:v>
      </x:c>
      <x:c r="B21" s="19" t="str">
        <x:v>Custo unitário de insumos</x:v>
      </x:c>
      <x:c r="C21" s="19" t="str">
        <x:v>24,00</x:v>
      </x:c>
      <x:c r="D21" s="19" t="str">
        <x:v>Opcional</x:v>
      </x:c>
      <x:c r="E21" s="19" t="str">
        <x:v>Moeda</x:v>
      </x:c>
      <x:c r="F21" s="19" t="str">
        <x:v>EAP</x:v>
      </x:c>
      <x:c r="G21" s="19" t="str">
        <x:v>Referência para custo direto</x:v>
      </x:c>
      <x:c r="H21" s="19" t="str">
        <x:v>Modelo fornecido</x:v>
      </x:c>
      <x:c r="I21" s="19" t="str">
        <x:v>Não</x:v>
      </x:c>
      <x:c r="J21" s="19" t="str">
        <x:v>Sim</x:v>
      </x:c>
      <x:c r="K21" s="19" t="str">
        <x:v>Não</x:v>
      </x:c>
      <x:c r="L21" s="19" t="str">
        <x:v>&gt;=0</x:v>
      </x:c>
    </x:row>
    <x:row r="22">
      <x:c r="A22" s="19" t="str">
        <x:v>PU Mão de obra</x:v>
      </x:c>
      <x:c r="B22" s="19" t="str">
        <x:v>Custo unitário de mão de obra</x:v>
      </x:c>
      <x:c r="C22" s="19" t="str">
        <x:v>18,00</x:v>
      </x:c>
      <x:c r="D22" s="19" t="str">
        <x:v>Opcional</x:v>
      </x:c>
      <x:c r="E22" s="19" t="str">
        <x:v>Moeda</x:v>
      </x:c>
      <x:c r="F22" s="19" t="str">
        <x:v>EAP</x:v>
      </x:c>
      <x:c r="G22" s="19" t="str">
        <x:v>Referência para custo direto</x:v>
      </x:c>
      <x:c r="H22" s="19" t="str">
        <x:v>Modelo fornecido</x:v>
      </x:c>
      <x:c r="I22" s="19" t="str">
        <x:v>Não</x:v>
      </x:c>
      <x:c r="J22" s="19" t="str">
        <x:v>Sim</x:v>
      </x:c>
      <x:c r="K22" s="19" t="str">
        <x:v>Não</x:v>
      </x:c>
      <x:c r="L22" s="19" t="str">
        <x:v>&gt;=0</x:v>
      </x:c>
    </x:row>
    <x:row r="23">
      <x:c r="A23" s="19" t="str">
        <x:v>PU Equipamentos</x:v>
      </x:c>
      <x:c r="B23" s="19" t="str">
        <x:v>Custo unitário de equipamentos</x:v>
      </x:c>
      <x:c r="C23" s="19" t="str">
        <x:v>8,00</x:v>
      </x:c>
      <x:c r="D23" s="19" t="str">
        <x:v>Opcional</x:v>
      </x:c>
      <x:c r="E23" s="19" t="str">
        <x:v>Moeda</x:v>
      </x:c>
      <x:c r="F23" s="19" t="str">
        <x:v>EAP</x:v>
      </x:c>
      <x:c r="G23" s="19" t="str">
        <x:v>Referência para custo direto</x:v>
      </x:c>
      <x:c r="H23" s="19" t="str">
        <x:v>ObraTop</x:v>
      </x:c>
      <x:c r="I23" s="19" t="str">
        <x:v>Não</x:v>
      </x:c>
      <x:c r="J23" s="19" t="str">
        <x:v>Sim</x:v>
      </x:c>
      <x:c r="K23" s="19" t="str">
        <x:v>Não</x:v>
      </x:c>
      <x:c r="L23" s="19" t="str">
        <x:v>&gt;=0</x:v>
      </x:c>
    </x:row>
  </x:sheetData>
  <x:mergeCells>
    <x:mergeCell ref="A1:L1"/>
  </x:mergeCells>
  <x:pageMargins left="0.7" right="0.7" top="0.75" bottom="0.75" header="0.3" footer="0.3"/>
</x:worksheet>
</file>