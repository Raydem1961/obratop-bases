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2c3eb7afb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16b0d70cb6f24f09"/>
    <x:sheet xmlns:r="http://schemas.openxmlformats.org/officeDocument/2006/relationships" name="OBRAS" sheetId="2" r:id="Rad5d7ec3cfa64e97"/>
    <x:sheet xmlns:r="http://schemas.openxmlformats.org/officeDocument/2006/relationships" name="EQUIPE_USUARIOS" sheetId="3" r:id="R854842f0b5a34eb8"/>
    <x:sheet xmlns:r="http://schemas.openxmlformats.org/officeDocument/2006/relationships" name="FORNECEDORES" sheetId="4" r:id="R98fc1eaa7dc44b1d"/>
    <x:sheet xmlns:r="http://schemas.openxmlformats.org/officeDocument/2006/relationships" name="ORCAMENTO" sheetId="5" r:id="Raf97a773f82146b9"/>
    <x:sheet xmlns:r="http://schemas.openxmlformats.org/officeDocument/2006/relationships" name="CRONOGRAMA" sheetId="6" r:id="Rcf4a98c2843d4c58"/>
    <x:sheet xmlns:r="http://schemas.openxmlformats.org/officeDocument/2006/relationships" name="MEDICOES" sheetId="7" r:id="R4394d239ecf145fe"/>
    <x:sheet xmlns:r="http://schemas.openxmlformats.org/officeDocument/2006/relationships" name="EQUIPAMENTOS" sheetId="8" r:id="R714822a902a94b1a"/>
    <x:sheet xmlns:r="http://schemas.openxmlformats.org/officeDocument/2006/relationships" name="COMPRAS" sheetId="9" r:id="R2af40883928645f7"/>
    <x:sheet xmlns:r="http://schemas.openxmlformats.org/officeDocument/2006/relationships" name="FINANCEIRO" sheetId="10" r:id="R078e39d1054d4ee8"/>
    <x:sheet xmlns:r="http://schemas.openxmlformats.org/officeDocument/2006/relationships" name="CONTRATOS" sheetId="11" r:id="R7e4a542e734648b6"/>
    <x:sheet xmlns:r="http://schemas.openxmlformats.org/officeDocument/2006/relationships" name="PESSOAL" sheetId="12" r:id="R88ee2dad69be4016"/>
    <x:sheet xmlns:r="http://schemas.openxmlformats.org/officeDocument/2006/relationships" name="QUALIDADE" sheetId="13" r:id="R8bd518f3ebec4468"/>
    <x:sheet xmlns:r="http://schemas.openxmlformats.org/officeDocument/2006/relationships" name="SEGURANCA" sheetId="14" r:id="Rd7c8287aa9d2490a"/>
    <x:sheet xmlns:r="http://schemas.openxmlformats.org/officeDocument/2006/relationships" name="DOCUMENTOS" sheetId="15" r:id="R7bf5af9b46f54b2d"/>
    <x:sheet xmlns:r="http://schemas.openxmlformats.org/officeDocument/2006/relationships" name="AUDITORIA" sheetId="16" r:id="R505a77c8fef84099"/>
    <x:sheet xmlns:r="http://schemas.openxmlformats.org/officeDocument/2006/relationships" name="DASHBOARD" sheetId="17" r:id="R6ccd3bc97cb84b06"/>
    <x:sheet xmlns:r="http://schemas.openxmlformats.org/officeDocument/2006/relationships" name="ESTOQUE" sheetId="18" r:id="R63a5014b8174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3B66"/>
      <x:name val="Carlito"/>
    </x:font>
    <x:font>
      <x:b/>
      <x:sz val="11"/>
      <x:color rgb="FF216E3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6CBD"/>
      </x:patternFill>
    </x:fill>
    <x:fill>
      <x:patternFill patternType="solid">
        <x:fgColor rgb="FFE8F2FB"/>
      </x:patternFill>
    </x:fill>
    <x:fill>
      <x:patternFill patternType="solid">
        <x:fgColor rgb="FFEAF4E8"/>
      </x:patternFill>
    </x:fill>
    <x:fill>
      <x:patternFill patternType="solid">
        <x:fgColor rgb="FF0F6CBD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d27a587224ea1" /><Relationship Type="http://schemas.openxmlformats.org/officeDocument/2006/relationships/theme" Target="/xl/theme/theme1.xml" Id="R97bbd1c76f6649f6" /><Relationship Type="http://schemas.openxmlformats.org/officeDocument/2006/relationships/sharedStrings" Target="/xl/sharedStrings.xml" Id="Rb9d8f51c0d7e48c7" /><Relationship Type="http://schemas.openxmlformats.org/officeDocument/2006/relationships/worksheet" Target="/xl/worksheets/sheet1.xml" Id="R16b0d70cb6f24f09" /><Relationship Type="http://schemas.openxmlformats.org/officeDocument/2006/relationships/worksheet" Target="/xl/worksheets/sheet2.xml" Id="Rad5d7ec3cfa64e97" /><Relationship Type="http://schemas.openxmlformats.org/officeDocument/2006/relationships/worksheet" Target="/xl/worksheets/sheet3.xml" Id="R854842f0b5a34eb8" /><Relationship Type="http://schemas.openxmlformats.org/officeDocument/2006/relationships/worksheet" Target="/xl/worksheets/sheet4.xml" Id="R98fc1eaa7dc44b1d" /><Relationship Type="http://schemas.openxmlformats.org/officeDocument/2006/relationships/worksheet" Target="/xl/worksheets/sheet5.xml" Id="Raf97a773f82146b9" /><Relationship Type="http://schemas.openxmlformats.org/officeDocument/2006/relationships/worksheet" Target="/xl/worksheets/sheet6.xml" Id="Rcf4a98c2843d4c58" /><Relationship Type="http://schemas.openxmlformats.org/officeDocument/2006/relationships/worksheet" Target="/xl/worksheets/sheet7.xml" Id="R4394d239ecf145fe" /><Relationship Type="http://schemas.openxmlformats.org/officeDocument/2006/relationships/worksheet" Target="/xl/worksheets/sheet8.xml" Id="R714822a902a94b1a" /><Relationship Type="http://schemas.openxmlformats.org/officeDocument/2006/relationships/worksheet" Target="/xl/worksheets/sheet9.xml" Id="R2af40883928645f7" /><Relationship Type="http://schemas.openxmlformats.org/officeDocument/2006/relationships/worksheet" Target="/xl/worksheets/sheet10.xml" Id="R078e39d1054d4ee8" /><Relationship Type="http://schemas.openxmlformats.org/officeDocument/2006/relationships/worksheet" Target="/xl/worksheets/sheet11.xml" Id="R7e4a542e734648b6" /><Relationship Type="http://schemas.openxmlformats.org/officeDocument/2006/relationships/worksheet" Target="/xl/worksheets/sheet12.xml" Id="R88ee2dad69be4016" /><Relationship Type="http://schemas.openxmlformats.org/officeDocument/2006/relationships/worksheet" Target="/xl/worksheets/sheet13.xml" Id="R8bd518f3ebec4468" /><Relationship Type="http://schemas.openxmlformats.org/officeDocument/2006/relationships/worksheet" Target="/xl/worksheets/sheet14.xml" Id="Rd7c8287aa9d2490a" /><Relationship Type="http://schemas.openxmlformats.org/officeDocument/2006/relationships/worksheet" Target="/xl/worksheets/sheet15.xml" Id="R7bf5af9b46f54b2d" /><Relationship Type="http://schemas.openxmlformats.org/officeDocument/2006/relationships/worksheet" Target="/xl/worksheets/sheet16.xml" Id="R505a77c8fef84099" /><Relationship Type="http://schemas.openxmlformats.org/officeDocument/2006/relationships/worksheet" Target="/xl/worksheets/sheet17.xml" Id="R6ccd3bc97cb84b06" /><Relationship Type="http://schemas.openxmlformats.org/officeDocument/2006/relationships/worksheet" Target="/xl/worksheets/sheet18.xml" Id="R63a5014b817448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838d5f0f0b40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contratado por obra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Contratado</c:v>
          </c:tx>
          <c:cat>
            <c:strRef>
              <c:f>'DASHBOARD'!$D$5:$D$6</c:f>
              <c:strCache>
                <c:ptCount val="0"/>
              </c:strCache>
            </c:strRef>
          </c:cat>
          <c:val>
            <c:numRef>
              <c:f>'DASHBOARD'!$E$5:$E$6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838d5f0f0b40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Obras" displayName="TblObras" ref="A1:H3" headerRowCount="1" totalsRowCount="0" totalsRowShown="0">
  <x:tableColumns count="8">
    <x:tableColumn id="1" name="Nome da obra"/>
    <x:tableColumn id="2" name="Cliente"/>
    <x:tableColumn id="3" name="Endereço"/>
    <x:tableColumn id="4" name="Início"/>
    <x:tableColumn id="5" name="Término previsto"/>
    <x:tableColumn id="6" name="Valor contratado"/>
    <x:tableColumn id="7" name="Status"/>
    <x:tableColumn id="8" name="Progresso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Usuarios" displayName="TblUsuarios" ref="A1:G4" headerRowCount="1" totalsRowCount="0" totalsRowShown="0">
  <x:tableColumns count="7">
    <x:tableColumn id="1" name="Nome"/>
    <x:tableColumn id="2" name="E-mail"/>
    <x:tableColumn id="3" name="Perfil"/>
    <x:tableColumn id="4" name="Obra atribuída"/>
    <x:tableColumn id="5" name="Senha provisória EXEMPLO"/>
    <x:tableColumn id="6" name="Status"/>
    <x:tableColumn id="7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Fornecedores" displayName="TblFornecedores" ref="A1:F7" headerRowCount="1" totalsRowCount="0" totalsRowShown="0">
  <x:tableColumns count="6">
    <x:tableColumn id="1" name="Nome ou razão social"/>
    <x:tableColumn id="2" name="CNPJ"/>
    <x:tableColumn id="3" name="Telefone"/>
    <x:tableColumn id="4" name="E-mail"/>
    <x:tableColumn id="5" name="Categoria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Orcamento" displayName="TblOrcamento" ref="A1:H15" headerRowCount="1" totalsRowCount="0" totalsRowShown="0">
  <x:tableColumns count="8">
    <x:tableColumn id="1" name="Obra"/>
    <x:tableColumn id="2" name="Categoria"/>
    <x:tableColumn id="3" name="Serviço ou material"/>
    <x:tableColumn id="4" name="Unidade"/>
    <x:tableColumn id="5" name="Quantidade"/>
    <x:tableColumn id="6" name="Valor unitário"/>
    <x:tableColumn id="7" name="BDI (%)"/>
    <x:tableColumn id="8" name="Preço de ven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ronograma" displayName="TblCronograma" ref="A1:H15" headerRowCount="1" totalsRowCount="0" totalsRowShown="0">
  <x:tableColumns count="8">
    <x:tableColumn id="1" name="Obra"/>
    <x:tableColumn id="2" name="Atividade"/>
    <x:tableColumn id="3" name="Início"/>
    <x:tableColumn id="4" name="Fim"/>
    <x:tableColumn id="5" name="Responsável"/>
    <x:tableColumn id="6" name="Progresso (%)"/>
    <x:tableColumn id="7" name="Status"/>
    <x:tableColumn id="8" name="Duração (dia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Medicoes" displayName="TblMedicoes" ref="A1:G9" headerRowCount="1" totalsRowCount="0" totalsRowShown="0">
  <x:tableColumns count="7">
    <x:tableColumn id="1" name="Obra"/>
    <x:tableColumn id="2" name="Data"/>
    <x:tableColumn id="3" name="Número"/>
    <x:tableColumn id="4" name="Descrição"/>
    <x:tableColumn id="5" name="Avanço físico (%)"/>
    <x:tableColumn id="6" name="Valor medido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Equipamentos" displayName="TblEquipamentos" ref="A1:F8" headerRowCount="1" totalsRowCount="0" totalsRowShown="0">
  <x:tableColumns count="6">
    <x:tableColumn id="1" name="Equipamento"/>
    <x:tableColumn id="2" name="Patrimônio ou código"/>
    <x:tableColumn id="3" name="Obra alocada"/>
    <x:tableColumn id="4" name="Horímetro"/>
    <x:tableColumn id="5" name="Próxima manutenção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ompras" displayName="TblCompras" ref="A1:G9" headerRowCount="1" totalsRowCount="0" totalsRowShown="0">
  <x:tableColumns count="7">
    <x:tableColumn id="1" name="Obra"/>
    <x:tableColumn id="2" name="Fornecedor"/>
    <x:tableColumn id="3" name="Data"/>
    <x:tableColumn id="4" name="Prazo de entrega"/>
    <x:tableColumn id="5" name="Itens ou descrição"/>
    <x:tableColumn id="6" name="Valor total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Financeiro" displayName="TblFinanceiro" ref="A1:H14" headerRowCount="1" totalsRowCount="0" totalsRowShown="0">
  <x:tableColumns count="8">
    <x:tableColumn id="1" name="Obra"/>
    <x:tableColumn id="2" name="Competência"/>
    <x:tableColumn id="3" name="Vencimento"/>
    <x:tableColumn id="4" name="Descrição"/>
    <x:tableColumn id="5" name="Tipo"/>
    <x:tableColumn id="6" name="Categoria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Contratos" displayName="TblContratos" ref="A1:H5" headerRowCount="1" totalsRowCount="0" totalsRowShown="0">
  <x:tableColumns count="8">
    <x:tableColumn id="1" name="Obra"/>
    <x:tableColumn id="2" name="Número"/>
    <x:tableColumn id="3" name="Contraparte"/>
    <x:tableColumn id="4" name="Objeto"/>
    <x:tableColumn id="5" name="Início"/>
    <x:tableColumn id="6" name="Fim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essoal" displayName="TblPessoal" ref="A1:F11" headerRowCount="1" totalsRowCount="0" totalsRowShown="0">
  <x:tableColumns count="6">
    <x:tableColumn id="1" name="Nome"/>
    <x:tableColumn id="2" name="Função"/>
    <x:tableColumn id="3" name="Admissão"/>
    <x:tableColumn id="4" name="Salário"/>
    <x:tableColumn id="5" name="Obra alocada"/>
    <x:tableColumn id="6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Qualidade" displayName="TblQualidade" ref="A1:H6" headerRowCount="1" totalsRowCount="0" totalsRowShown="0">
  <x:tableColumns count="8">
    <x:tableColumn id="1" name="Obra"/>
    <x:tableColumn id="2" name="Data"/>
    <x:tableColumn id="3" name="Etapa ou serviço"/>
    <x:tableColumn id="4" name="Não conformidade"/>
    <x:tableColumn id="5" name="Responsável"/>
    <x:tableColumn id="6" name="Prazo"/>
    <x:tableColumn id="7" name="Severidade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Seguranca" displayName="TblSeguranca" ref="A1:F7" headerRowCount="1" totalsRowCount="0" totalsRowShown="0">
  <x:tableColumns count="6">
    <x:tableColumn id="1" name="Obra"/>
    <x:tableColumn id="2" name="Data"/>
    <x:tableColumn id="3" name="Tipo"/>
    <x:tableColumn id="4" name="Descrição"/>
    <x:tableColumn id="5" name="Responsável"/>
    <x:tableColumn id="6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Documentos" displayName="TblDocumentos" ref="A1:I7" headerRowCount="1" totalsRowCount="0" totalsRowShown="0">
  <x:tableColumns count="9">
    <x:tableColumn id="1" name="Obra"/>
    <x:tableColumn id="2" name="Nome do documento"/>
    <x:tableColumn id="3" name="Categoria"/>
    <x:tableColumn id="4" name="Data"/>
    <x:tableColumn id="5" name="Vencimento"/>
    <x:tableColumn id="6" name="Revisão"/>
    <x:tableColumn id="7" name="Status"/>
    <x:tableColumn id="8" name="Link HTTPS"/>
    <x:tableColumn id="9" name="Observaçõ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Auditoria" displayName="TblAuditoria" ref="A1:F7" headerRowCount="1" totalsRowCount="0" totalsRowShown="0">
  <x:tableColumns count="6">
    <x:tableColumn id="1" name="Data/Hora"/>
    <x:tableColumn id="2" name="Usuário"/>
    <x:tableColumn id="3" name="Ação"/>
    <x:tableColumn id="4" name="Módulo"/>
    <x:tableColumn id="5" name="Registro"/>
    <x:tableColumn id="6" name="Detalh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stoqueTable" displayName="EstoqueTable" ref="A1:R11" headerRowCount="1" totalsRowCount="0" totalsRowShown="0">
  <x:tableColumns count="18">
    <x:tableColumn id="1" name="Obra"/>
    <x:tableColumn id="2" name="Data de referência"/>
    <x:tableColumn id="3" name="Material / insumo"/>
    <x:tableColumn id="4" name="Categoria"/>
    <x:tableColumn id="5" name="Unidade"/>
    <x:tableColumn id="6" name="Estoque atual"/>
    <x:tableColumn id="7" name="Estoque mínimo"/>
    <x:tableColumn id="8" name="Estoque máximo"/>
    <x:tableColumn id="9" name="Estoque de segurança"/>
    <x:tableColumn id="10" name="Consumo médio diário"/>
    <x:tableColumn id="11" name="Prazo de reposição (dias)"/>
    <x:tableColumn id="12" name="Ponto de pedido manual"/>
    <x:tableColumn id="13" name="Estoque de antecipação"/>
    <x:tableColumn id="14" name="Valor unitário"/>
    <x:tableColumn id="15" name="Ponto de pedido efetivo"/>
    <x:tableColumn id="16" name="Estoque médio"/>
    <x:tableColumn id="17" name="Valor em estoque"/>
    <x:tableColumn id="18" name="Semáfo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dd86102aa7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b37c5a444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5563edc5cf4f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087572389d4d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018d5376f441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35702db99047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c457f6650a49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4839ead36643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f4b8c48067644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f42b12ded744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95a03c0996241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5ee1eef3ade4cb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bb4e16649c640e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ccdfbe15a4140d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fcf2fe8c2f442f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504171d73cee41c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d5f90d0f215492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50" t="str">
        <x:v>ObraTop - Super Planilha Base-Exemplo V3.9</x:v>
      </x:c>
      <x:c r="B1" s="50"/>
      <x:c r="C1" s="5"/>
      <x:c r="D1" s="5"/>
      <x:c r="E1" s="5"/>
      <x:c r="F1" s="5"/>
      <x:c r="G1" s="5"/>
      <x:c r="H1" s="5"/>
    </x:row>
    <x:row r="2">
      <x:c r="A2" s="50"/>
      <x:c r="B2" s="50"/>
      <x:c r="C2" s="5"/>
      <x:c r="D2" s="5"/>
      <x:c r="E2" s="5"/>
      <x:c r="F2" s="5"/>
      <x:c r="G2" s="5"/>
      <x:c r="H2" s="5"/>
    </x:row>
    <x:row r="3">
      <x:c r="A3" s="19"/>
      <x:c r="B3" s="19"/>
    </x:row>
    <x:row r="4">
      <x:c r="A4" s="18" t="str">
        <x:v>FINALIDADE</x:v>
      </x:c>
      <x:c r="B4" s="19" t="str">
        <x:v>Modelo completo para cadastro em massa e importação automática no ObraTop V3.9. Inclui controle inteligente de estoque, semáforo, Curva S e Curva ABC.</x:v>
      </x:c>
    </x:row>
    <x:row r="5">
      <x:c r="A5" s="18" t="str">
        <x:v>IMPORTAÇÃO</x:v>
      </x:c>
      <x:c r="B5" s="19" t="str">
        <x:v>No ObraTop, abra o módulo desejado &gt; Importar arquivo &gt; Excel e selecione esta planilha. Para carga completa, use Relatórios &gt; Importar planilha completa.</x:v>
      </x:c>
    </x:row>
    <x:row r="6">
      <x:c r="A6" s="18" t="str">
        <x:v>OBRAS</x:v>
      </x:c>
      <x:c r="B6" s="19" t="str">
        <x:v>Cadastre/importe a aba OBRAS antes das demais. Os demais módulos usam o nome da obra para vinculação automática.</x:v>
      </x:c>
    </x:row>
    <x:row r="7">
      <x:c r="A7" s="18" t="str">
        <x:v>USUÁRIOS</x:v>
      </x:c>
      <x:c r="B7" s="19" t="str">
        <x:v>As senhas desta planilha são apenas PROVISÓRIAS DE EXEMPLO. No ambiente Firebase, a inclusão segura deve ocorrer por convite. Não reutilize estas senhas em produção.</x:v>
      </x:c>
    </x:row>
    <x:row r="8">
      <x:c r="A8" s="18" t="str">
        <x:v>PDF / WORD</x:v>
      </x:c>
      <x:c r="B8" s="19" t="str">
        <x:v>A importação automática de PDF e Word é garantida para arquivos exportados pelo próprio ObraTop V3.9, pois eles carregam um bloco de dados estruturado.</x:v>
      </x:c>
    </x:row>
    <x:row r="9">
      <x:c r="A9" s="18" t="str">
        <x:v>CSV</x:v>
      </x:c>
      <x:c r="B9" s="19" t="str">
        <x:v>Para CSV, mantenha a primeira linha como cabeçalho e use ; (ponto e vírgula) preferencialmente.</x:v>
      </x:c>
    </x:row>
    <x:row r="10">
      <x:c r="A10" s="18" t="str">
        <x:v>AUDITORIA</x:v>
      </x:c>
      <x:c r="B10" s="19" t="str">
        <x:v>A aba AUDITORIA é demonstrativa e de consulta. Registros reais de auditoria são gerados automaticamente pelo programa e não devem ser importados.</x:v>
      </x:c>
    </x:row>
    <x:row r="11">
      <x:c r="A11" s="18" t="str">
        <x:v>SEGURANÇA</x:v>
      </x:c>
      <x:c r="B11" s="19" t="str">
        <x:v>Nunca armazene senhas reais em planilhas. Troque senhas provisórias no primeiro acesso e mantenha a planilha em local protegido.</x:v>
      </x:c>
    </x:row>
    <x:row r="12">
      <x:c r="A12" s="49" t="str">
        <x:v>ESTOQUE</x:v>
      </x:c>
      <x:c r="B12" s="19" t="str">
        <x:v>A aba ESTOQUE controla mínimo, máximo, segurança, antecipação e ponto de pedido. Se o ponto de pedido manual ficar zerado, o sistema calcula Consumo médio diário × Prazo de reposição + Estoque de segurança.</x:v>
      </x:c>
    </x:row>
    <x:row r="13">
      <x:c r="A13" s="49" t="str">
        <x:v>CURVA ABC</x:v>
      </x:c>
      <x:c r="B13" s="24" t="str">
        <x:v>Classificação econômica: A até aproximadamente 80% do valor acumulado; B até aproximadamente 95%; C no restante.</x:v>
      </x:c>
      <x:c r="C13" s="24"/>
      <x:c r="D13" s="24"/>
      <x:c r="E13" s="24"/>
      <x:c r="F13" s="24"/>
      <x:c r="G13" s="24"/>
      <x:c r="H13" s="24"/>
    </x:row>
    <x:row r="14">
      <x:c r="A14" s="49" t="str">
        <x:v>CURVA S</x:v>
      </x:c>
      <x:c r="B14" s="24" t="str">
        <x:v>Materiais usam data de referência e valor em estoque; pessoal usa admissão e salário; máquinas/equipamentos usam início de alocação e custo mensal.</x:v>
      </x:c>
      <x:c r="C14" s="24"/>
      <x:c r="D14" s="24"/>
      <x:c r="E14" s="24"/>
      <x:c r="F14" s="24"/>
      <x:c r="G14" s="24"/>
      <x:c r="H14" s="24"/>
    </x:row>
    <x:row r="15">
      <x:c r="A15" s="49" t="str">
        <x:v>Fluxo recomendado</x:v>
      </x:c>
      <x:c r="B15" s="19" t="str">
        <x:v>1) OBRAS → 2) FORNECEDORES → 3) ESTOQUE e demais módulos → 4) EQUIPE_USUARIOS por convite.</x:v>
      </x:c>
    </x:row>
  </x:sheetData>
  <x:mergeCells>
    <x:mergeCell ref="A1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4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1" t="str">
        <x:v>Nome da obra</x:v>
      </x:c>
      <x:c r="B1" s="31" t="str">
        <x:v>Cliente</x:v>
      </x:c>
      <x:c r="C1" s="31" t="str">
        <x:v>Endereço</x:v>
      </x:c>
      <x:c r="D1" s="31" t="str">
        <x:v>Início</x:v>
      </x:c>
      <x:c r="E1" s="31" t="str">
        <x:v>Término previsto</x:v>
      </x:c>
      <x:c r="F1" s="31" t="str">
        <x:v>Valor contratado</x:v>
      </x:c>
      <x:c r="G1" s="31" t="str">
        <x:v>Status</x:v>
      </x:c>
      <x:c r="H1" s="31" t="str">
        <x:v>Progresso (%)</x:v>
      </x:c>
    </x:row>
    <x:row r="2">
      <x:c r="A2" s="19" t="str">
        <x:v>Revitalização do Complexo Administrativo - Aracaju</x:v>
      </x:c>
      <x:c r="B2" s="19" t="str">
        <x:v>Grupo Exemplo Engenharia S.A.</x:v>
      </x:c>
      <x:c r="C2" s="19" t="str">
        <x:v>Av. Exemplo, 1000 - Aracaju/SE</x:v>
      </x:c>
      <x:c r="D2" s="38" t="n">
        <x:v>46204</x:v>
      </x:c>
      <x:c r="E2" s="38" t="n">
        <x:v>46477</x:v>
      </x:c>
      <x:c r="F2" s="36" t="n">
        <x:v>4850000</x:v>
      </x:c>
      <x:c r="G2" s="19" t="str">
        <x:v>Em andamento</x:v>
      </x:c>
      <x:c r="H2" s="40" t="n">
        <x:v>28</x:v>
      </x:c>
    </x:row>
    <x:row r="3">
      <x:c r="A3" s="19" t="str">
        <x:v>Pavimentação Rodoviária SE-100 - Trecho Demonstrativo</x:v>
      </x:c>
      <x:c r="B3" s="19" t="str">
        <x:v>DER/Cliente Demonstrativo</x:v>
      </x:c>
      <x:c r="C3" s="19" t="str">
        <x:v>Rodovia SE-100 - km 12 ao km 34 - SE</x:v>
      </x:c>
      <x:c r="D3" s="38" t="n">
        <x:v>46188</x:v>
      </x:c>
      <x:c r="E3" s="38" t="n">
        <x:v>46568</x:v>
      </x:c>
      <x:c r="F3" s="36" t="n">
        <x:v>12800000</x:v>
      </x:c>
      <x:c r="G3" s="19" t="str">
        <x:v>Em andamento</x:v>
      </x:c>
      <x:c r="H3" s="40" t="n">
        <x:v>22</x:v>
      </x:c>
    </x:row>
  </x:sheetData>
  <x:dataValidations count="1">
    <x:dataValidation type="list" sqref="G2:G500">
      <x:formula1>"Planejamento,Em andamento,Parada,Concluída"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dd86102aa743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45" hidden="0" customWidth="1"/>
    <x:col min="5" max="5" width="26" hidden="0" customWidth="1"/>
    <x:col min="6" max="6" width="14" hidden="0" customWidth="1"/>
    <x:col min="7" max="7" width="48" hidden="0" customWidth="1"/>
  </x:cols>
  <x:sheetData>
    <x:row r="1">
      <x:c r="A1" s="31" t="str">
        <x:v>Nome</x:v>
      </x:c>
      <x:c r="B1" s="31" t="str">
        <x:v>E-mail</x:v>
      </x:c>
      <x:c r="C1" s="31" t="str">
        <x:v>Perfil</x:v>
      </x:c>
      <x:c r="D1" s="31" t="str">
        <x:v>Obra atribuída</x:v>
      </x:c>
      <x:c r="E1" s="31" t="str">
        <x:v>Senha provisória EXEMPLO</x:v>
      </x:c>
      <x:c r="F1" s="31" t="str">
        <x:v>Status</x:v>
      </x:c>
      <x:c r="G1" s="31" t="str">
        <x:v>Observações</x:v>
      </x:c>
    </x:row>
    <x:row r="2">
      <x:c r="A2" s="19" t="str">
        <x:v>Administrador Geral</x:v>
      </x:c>
      <x:c r="B2" s="19" t="str">
        <x:v>administrador@exemplo.com</x:v>
      </x:c>
      <x:c r="C2" s="19" t="str">
        <x:v>Administrador geral</x:v>
      </x:c>
      <x:c r="D2" s="19" t="str">
        <x:v>Todas as obras</x:v>
      </x:c>
      <x:c r="E2" s="19" t="str">
        <x:v>Admin#ObraTop2026!</x:v>
      </x:c>
      <x:c r="F2" s="19" t="str">
        <x:v>Ativo</x:v>
      </x:c>
      <x:c r="G2" s="19" t="str">
        <x:v>Conta fictícia. Substitua pelo administrador real.</x:v>
      </x:c>
    </x:row>
    <x:row r="3">
      <x:c r="A3" s="19" t="str">
        <x:v>Engenheiro Obra 01</x:v>
      </x:c>
      <x:c r="B3" s="19" t="str">
        <x:v>engenheiro.obra01@exemplo.com</x:v>
      </x:c>
      <x:c r="C3" s="19" t="str">
        <x:v>Usuário da obra</x:v>
      </x:c>
      <x:c r="D3" s="19" t="str">
        <x:v>Revitalização do Complexo Administrativo - Aracaju</x:v>
      </x:c>
      <x:c r="E3" s="19" t="str">
        <x:v>Obra01#2026!</x:v>
      </x:c>
      <x:c r="F3" s="19" t="str">
        <x:v>Ativo</x:v>
      </x:c>
      <x:c r="G3" s="19" t="str">
        <x:v>Acesso de escrita somente à Obra 01; leitura das demais.</x:v>
      </x:c>
    </x:row>
    <x:row r="4">
      <x:c r="A4" s="19" t="str">
        <x:v>Engenheiro Obra 02</x:v>
      </x:c>
      <x:c r="B4" s="19" t="str">
        <x:v>engenheiro.obra02@exemplo.com</x:v>
      </x:c>
      <x:c r="C4" s="19" t="str">
        <x:v>Usuário da obra</x:v>
      </x:c>
      <x:c r="D4" s="19" t="str">
        <x:v>Pavimentação Rodoviária SE-100 - Trecho Demonstrativo</x:v>
      </x:c>
      <x:c r="E4" s="19" t="str">
        <x:v>Obra02#2026!</x:v>
      </x:c>
      <x:c r="F4" s="19" t="str">
        <x:v>Ativo</x:v>
      </x:c>
      <x:c r="G4" s="19" t="str">
        <x:v>Acesso de escrita somente à Obra 02; leitura das demais.</x:v>
      </x:c>
    </x:row>
  </x:sheetData>
  <x:dataValidations count="2">
    <x:dataValidation type="list" sqref="C2:C500">
      <x:formula1>"Administrador geral,Usuário da obra"</x:formula1>
    </x:dataValidation>
    <x:dataValidation type="list" sqref="F2:F500">
      <x:formula1>"Ativo,Inativo"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b37c5a4444d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8" hidden="0" customWidth="1"/>
    <x:col min="4" max="4" width="34" hidden="0" customWidth="1"/>
    <x:col min="5" max="5" width="28" hidden="0" customWidth="1"/>
    <x:col min="6" max="6" width="14" hidden="0" customWidth="1"/>
  </x:cols>
  <x:sheetData>
    <x:row r="1">
      <x:c r="A1" s="31" t="str">
        <x:v>Nome ou razão social</x:v>
      </x:c>
      <x:c r="B1" s="31" t="str">
        <x:v>CNPJ</x:v>
      </x:c>
      <x:c r="C1" s="31" t="str">
        <x:v>Telefone</x:v>
      </x:c>
      <x:c r="D1" s="31" t="str">
        <x:v>E-mail</x:v>
      </x:c>
      <x:c r="E1" s="31" t="str">
        <x:v>Categoria</x:v>
      </x:c>
      <x:c r="F1" s="31" t="str">
        <x:v>Status</x:v>
      </x:c>
    </x:row>
    <x:row r="2">
      <x:c r="A2" s="19" t="str">
        <x:v>Concrefort Materiais Ltda</x:v>
      </x:c>
      <x:c r="B2" s="19" t="str">
        <x:v>12.345.678/0001-10</x:v>
      </x:c>
      <x:c r="C2" s="19" t="str">
        <x:v>(79) 99999-1001</x:v>
      </x:c>
      <x:c r="D2" s="19" t="str">
        <x:v>comercial@concrefort.exemplo</x:v>
      </x:c>
      <x:c r="E2" s="19" t="str">
        <x:v>Concreto e agregados</x:v>
      </x:c>
      <x:c r="F2" s="19" t="str">
        <x:v>Ativo</x:v>
      </x:c>
    </x:row>
    <x:row r="3">
      <x:c r="A3" s="19" t="str">
        <x:v>PavMix Asfaltos Ltda</x:v>
      </x:c>
      <x:c r="B3" s="19" t="str">
        <x:v>23.456.789/0001-20</x:v>
      </x:c>
      <x:c r="C3" s="19" t="str">
        <x:v>(79) 99999-1002</x:v>
      </x:c>
      <x:c r="D3" s="19" t="str">
        <x:v>vendas@pavmix.exemplo</x:v>
      </x:c>
      <x:c r="E3" s="19" t="str">
        <x:v>Asfalto/CBUQ</x:v>
      </x:c>
      <x:c r="F3" s="19" t="str">
        <x:v>Ativo</x:v>
      </x:c>
    </x:row>
    <x:row r="4">
      <x:c r="A4" s="19" t="str">
        <x:v>EletroNordeste Comercial</x:v>
      </x:c>
      <x:c r="B4" s="19" t="str">
        <x:v>34.567.890/0001-30</x:v>
      </x:c>
      <x:c r="C4" s="19" t="str">
        <x:v>(79) 99999-1003</x:v>
      </x:c>
      <x:c r="D4" s="19" t="str">
        <x:v>contato@eletronordeste.exemplo</x:v>
      </x:c>
      <x:c r="E4" s="19" t="str">
        <x:v>Elétrica</x:v>
      </x:c>
      <x:c r="F4" s="19" t="str">
        <x:v>Ativo</x:v>
      </x:c>
    </x:row>
    <x:row r="5">
      <x:c r="A5" s="19" t="str">
        <x:v>LocaMáq Equipamentos</x:v>
      </x:c>
      <x:c r="B5" s="19" t="str">
        <x:v>45.678.901/0001-40</x:v>
      </x:c>
      <x:c r="C5" s="19" t="str">
        <x:v>(79) 99999-1004</x:v>
      </x:c>
      <x:c r="D5" s="19" t="str">
        <x:v>locacao@locamaq.exemplo</x:v>
      </x:c>
      <x:c r="E5" s="19" t="str">
        <x:v>Locação de equipamentos</x:v>
      </x:c>
      <x:c r="F5" s="19" t="str">
        <x:v>Ativo</x:v>
      </x:c>
    </x:row>
    <x:row r="6">
      <x:c r="A6" s="19" t="str">
        <x:v>SegWork EPI Ltda</x:v>
      </x:c>
      <x:c r="B6" s="19" t="str">
        <x:v>56.789.012/0001-50</x:v>
      </x:c>
      <x:c r="C6" s="19" t="str">
        <x:v>(79) 99999-1005</x:v>
      </x:c>
      <x:c r="D6" s="19" t="str">
        <x:v>vendas@segwork.exemplo</x:v>
      </x:c>
      <x:c r="E6" s="19" t="str">
        <x:v>EPI/EPC</x:v>
      </x:c>
      <x:c r="F6" s="19" t="str">
        <x:v>Ativo</x:v>
      </x:c>
    </x:row>
    <x:row r="7">
      <x:c r="A7" s="19" t="str">
        <x:v>TopGeo Serviços Técnicos</x:v>
      </x:c>
      <x:c r="B7" s="19" t="str">
        <x:v>67.890.123/0001-60</x:v>
      </x:c>
      <x:c r="C7" s="19" t="str">
        <x:v>(79) 99999-1006</x:v>
      </x:c>
      <x:c r="D7" s="19" t="str">
        <x:v>projetos@topgeo.exemplo</x:v>
      </x:c>
      <x:c r="E7" s="19" t="str">
        <x:v>Topografia</x:v>
      </x:c>
      <x:c r="F7" s="19" t="str">
        <x:v>Ativo</x:v>
      </x:c>
    </x:row>
  </x:sheetData>
  <x:dataValidations count="1">
    <x:dataValidation type="list" sqref="F2:F500">
      <x:formula1>"Ativo,Bloqueado,Inativo"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563edc5cf4f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4" hidden="0" customWidth="1"/>
    <x:col min="3" max="3" width="42" hidden="0" customWidth="1"/>
    <x:col min="4" max="4" width="12" hidden="0" customWidth="1"/>
    <x:col min="5" max="5" width="14" hidden="0" customWidth="1"/>
    <x:col min="6" max="6" width="18" hidden="0" customWidth="1"/>
    <x:col min="7" max="7" width="12" hidden="0" customWidth="1"/>
    <x:col min="8" max="8" width="20" hidden="0" customWidth="1"/>
  </x:cols>
  <x:sheetData>
    <x:row r="1">
      <x:c r="A1" s="31" t="str">
        <x:v>Obra</x:v>
      </x:c>
      <x:c r="B1" s="31" t="str">
        <x:v>Categoria</x:v>
      </x:c>
      <x:c r="C1" s="31" t="str">
        <x:v>Serviço ou material</x:v>
      </x:c>
      <x:c r="D1" s="31" t="str">
        <x:v>Unidade</x:v>
      </x:c>
      <x:c r="E1" s="31" t="str">
        <x:v>Quantidade</x:v>
      </x:c>
      <x:c r="F1" s="31" t="str">
        <x:v>Valor unitário</x:v>
      </x:c>
      <x:c r="G1" s="31" t="str">
        <x:v>BDI (%)</x:v>
      </x:c>
      <x:c r="H1" s="31" t="str">
        <x:v>Preço de venda</x:v>
      </x:c>
    </x:row>
    <x:row r="2">
      <x:c r="A2" s="19" t="str">
        <x:v>Revitalização do Complexo Administrativo - Aracaju</x:v>
      </x:c>
      <x:c r="B2" s="19" t="str">
        <x:v>Serviços preliminares</x:v>
      </x:c>
      <x:c r="C2" s="19" t="str">
        <x:v>Mobilização e canteiro</x:v>
      </x:c>
      <x:c r="D2" s="19" t="str">
        <x:v>vb</x:v>
      </x:c>
      <x:c r="E2" s="19" t="n">
        <x:v>1</x:v>
      </x:c>
      <x:c r="F2" s="36" t="n">
        <x:v>165000</x:v>
      </x:c>
      <x:c r="G2" s="40" t="n">
        <x:v>10</x:v>
      </x:c>
      <x:c r="H2" s="36" t="n">
        <x:f>E2*F2*(1+G2/100)</x:f>
        <x:v>181500.00000000003</x:v>
      </x:c>
    </x:row>
    <x:row r="3">
      <x:c r="A3" s="19" t="str">
        <x:v>Revitalização do Complexo Administrativo - Aracaju</x:v>
      </x:c>
      <x:c r="B3" s="19" t="str">
        <x:v>Demolições</x:v>
      </x:c>
      <x:c r="C3" s="19" t="str">
        <x:v>Demolições controladas e remoções</x:v>
      </x:c>
      <x:c r="D3" s="19" t="str">
        <x:v>m²</x:v>
      </x:c>
      <x:c r="E3" s="19" t="n">
        <x:v>1800</x:v>
      </x:c>
      <x:c r="F3" s="36" t="n">
        <x:v>68</x:v>
      </x:c>
      <x:c r="G3" s="40" t="n">
        <x:v>10</x:v>
      </x:c>
      <x:c r="H3" s="36" t="n">
        <x:f>E3*F3*(1+G3/100)</x:f>
        <x:v>134640</x:v>
      </x:c>
    </x:row>
    <x:row r="4">
      <x:c r="A4" s="19" t="str">
        <x:v>Revitalização do Complexo Administrativo - Aracaju</x:v>
      </x:c>
      <x:c r="B4" s="19" t="str">
        <x:v>Estrutura</x:v>
      </x:c>
      <x:c r="C4" s="19" t="str">
        <x:v>Reforço estrutural localizado</x:v>
      </x:c>
      <x:c r="D4" s="19" t="str">
        <x:v>m²</x:v>
      </x:c>
      <x:c r="E4" s="19" t="n">
        <x:v>950</x:v>
      </x:c>
      <x:c r="F4" s="36" t="n">
        <x:v>480</x:v>
      </x:c>
      <x:c r="G4" s="40" t="n">
        <x:v>12</x:v>
      </x:c>
      <x:c r="H4" s="36" t="n">
        <x:f>E4*F4*(1+G4/100)</x:f>
        <x:v>510720.00000000006</x:v>
      </x:c>
    </x:row>
    <x:row r="5">
      <x:c r="A5" s="19" t="str">
        <x:v>Revitalização do Complexo Administrativo - Aracaju</x:v>
      </x:c>
      <x:c r="B5" s="19" t="str">
        <x:v>Arquitetura</x:v>
      </x:c>
      <x:c r="C5" s="19" t="str">
        <x:v>Pintura externa e interna</x:v>
      </x:c>
      <x:c r="D5" s="19" t="str">
        <x:v>m²</x:v>
      </x:c>
      <x:c r="E5" s="19" t="n">
        <x:v>14200</x:v>
      </x:c>
      <x:c r="F5" s="36" t="n">
        <x:v>42</x:v>
      </x:c>
      <x:c r="G5" s="40" t="n">
        <x:v>10</x:v>
      </x:c>
      <x:c r="H5" s="36" t="n">
        <x:f>E5*F5*(1+G5/100)</x:f>
        <x:v>656040</x:v>
      </x:c>
    </x:row>
    <x:row r="6">
      <x:c r="A6" s="19" t="str">
        <x:v>Revitalização do Complexo Administrativo - Aracaju</x:v>
      </x:c>
      <x:c r="B6" s="19" t="str">
        <x:v>Elétrica</x:v>
      </x:c>
      <x:c r="C6" s="19" t="str">
        <x:v>Adequações elétricas e iluminação LED</x:v>
      </x:c>
      <x:c r="D6" s="19" t="str">
        <x:v>vb</x:v>
      </x:c>
      <x:c r="E6" s="19" t="n">
        <x:v>1</x:v>
      </x:c>
      <x:c r="F6" s="36" t="n">
        <x:v>385000</x:v>
      </x:c>
      <x:c r="G6" s="40" t="n">
        <x:v>10</x:v>
      </x:c>
      <x:c r="H6" s="36" t="n">
        <x:f>E6*F6*(1+G6/100)</x:f>
        <x:v>423500.00000000006</x:v>
      </x:c>
    </x:row>
    <x:row r="7">
      <x:c r="A7" s="19" t="str">
        <x:v>Revitalização do Complexo Administrativo - Aracaju</x:v>
      </x:c>
      <x:c r="B7" s="19" t="str">
        <x:v>Hidrossanitário</x:v>
      </x:c>
      <x:c r="C7" s="19" t="str">
        <x:v>Adequações de redes e aparelhos</x:v>
      </x:c>
      <x:c r="D7" s="19" t="str">
        <x:v>vb</x:v>
      </x:c>
      <x:c r="E7" s="19" t="n">
        <x:v>1</x:v>
      </x:c>
      <x:c r="F7" s="36" t="n">
        <x:v>245000</x:v>
      </x:c>
      <x:c r="G7" s="40" t="n">
        <x:v>10</x:v>
      </x:c>
      <x:c r="H7" s="36" t="n">
        <x:f>E7*F7*(1+G7/100)</x:f>
        <x:v>269500</x:v>
      </x:c>
    </x:row>
    <x:row r="8">
      <x:c r="A8" s="19" t="str">
        <x:v>Revitalização do Complexo Administrativo - Aracaju</x:v>
      </x:c>
      <x:c r="B8" s="19" t="str">
        <x:v>Acabamentos</x:v>
      </x:c>
      <x:c r="C8" s="19" t="str">
        <x:v>Pisos, forros e revestimentos</x:v>
      </x:c>
      <x:c r="D8" s="19" t="str">
        <x:v>m²</x:v>
      </x:c>
      <x:c r="E8" s="19" t="n">
        <x:v>5900</x:v>
      </x:c>
      <x:c r="F8" s="36" t="n">
        <x:v>185</x:v>
      </x:c>
      <x:c r="G8" s="40" t="n">
        <x:v>10</x:v>
      </x:c>
      <x:c r="H8" s="36" t="n">
        <x:f>E8*F8*(1+G8/100)</x:f>
        <x:v>1200650</x:v>
      </x:c>
    </x:row>
    <x:row r="9">
      <x:c r="A9" s="19" t="str">
        <x:v>Pavimentação Rodoviária SE-100 - Trecho Demonstrativo</x:v>
      </x:c>
      <x:c r="B9" s="19" t="str">
        <x:v>Terraplenagem</x:v>
      </x:c>
      <x:c r="C9" s="19" t="str">
        <x:v>Escavação/carga/transporte</x:v>
      </x:c>
      <x:c r="D9" s="19" t="str">
        <x:v>m³</x:v>
      </x:c>
      <x:c r="E9" s="19" t="n">
        <x:v>48000</x:v>
      </x:c>
      <x:c r="F9" s="36" t="n">
        <x:v>28</x:v>
      </x:c>
      <x:c r="G9" s="40" t="n">
        <x:v>15</x:v>
      </x:c>
      <x:c r="H9" s="36" t="n">
        <x:f>E9*F9*(1+G9/100)</x:f>
        <x:v>1545599.9999999998</x:v>
      </x:c>
    </x:row>
    <x:row r="10">
      <x:c r="A10" s="19" t="str">
        <x:v>Pavimentação Rodoviária SE-100 - Trecho Demonstrativo</x:v>
      </x:c>
      <x:c r="B10" s="19" t="str">
        <x:v>Terraplenagem</x:v>
      </x:c>
      <x:c r="C10" s="19" t="str">
        <x:v>Compactação de aterro</x:v>
      </x:c>
      <x:c r="D10" s="19" t="str">
        <x:v>m³</x:v>
      </x:c>
      <x:c r="E10" s="19" t="n">
        <x:v>36000</x:v>
      </x:c>
      <x:c r="F10" s="36" t="n">
        <x:v>18</x:v>
      </x:c>
      <x:c r="G10" s="40" t="n">
        <x:v>15</x:v>
      </x:c>
      <x:c r="H10" s="36" t="n">
        <x:f>E10*F10*(1+G10/100)</x:f>
        <x:v>745200</x:v>
      </x:c>
    </x:row>
    <x:row r="11">
      <x:c r="A11" s="19" t="str">
        <x:v>Pavimentação Rodoviária SE-100 - Trecho Demonstrativo</x:v>
      </x:c>
      <x:c r="B11" s="19" t="str">
        <x:v>Drenagem</x:v>
      </x:c>
      <x:c r="C11" s="19" t="str">
        <x:v>Bueiros e dispositivos</x:v>
      </x:c>
      <x:c r="D11" s="19" t="str">
        <x:v>vb</x:v>
      </x:c>
      <x:c r="E11" s="19" t="n">
        <x:v>1</x:v>
      </x:c>
      <x:c r="F11" s="36" t="n">
        <x:v>1250000</x:v>
      </x:c>
      <x:c r="G11" s="40" t="n">
        <x:v>15</x:v>
      </x:c>
      <x:c r="H11" s="36" t="n">
        <x:f>E11*F11*(1+G11/100)</x:f>
        <x:v>1437500</x:v>
      </x:c>
    </x:row>
    <x:row r="12">
      <x:c r="A12" s="19" t="str">
        <x:v>Pavimentação Rodoviária SE-100 - Trecho Demonstrativo</x:v>
      </x:c>
      <x:c r="B12" s="19" t="str">
        <x:v>Pavimentação</x:v>
      </x:c>
      <x:c r="C12" s="19" t="str">
        <x:v>Sub-base estabilizada</x:v>
      </x:c>
      <x:c r="D12" s="19" t="str">
        <x:v>m³</x:v>
      </x:c>
      <x:c r="E12" s="19" t="n">
        <x:v>15500</x:v>
      </x:c>
      <x:c r="F12" s="36" t="n">
        <x:v>118</x:v>
      </x:c>
      <x:c r="G12" s="40" t="n">
        <x:v>15</x:v>
      </x:c>
      <x:c r="H12" s="36" t="n">
        <x:f>E12*F12*(1+G12/100)</x:f>
        <x:v>2103350</x:v>
      </x:c>
    </x:row>
    <x:row r="13">
      <x:c r="A13" s="19" t="str">
        <x:v>Pavimentação Rodoviária SE-100 - Trecho Demonstrativo</x:v>
      </x:c>
      <x:c r="B13" s="19" t="str">
        <x:v>Pavimentação</x:v>
      </x:c>
      <x:c r="C13" s="19" t="str">
        <x:v>Base brita graduada</x:v>
      </x:c>
      <x:c r="D13" s="19" t="str">
        <x:v>m³</x:v>
      </x:c>
      <x:c r="E13" s="19" t="n">
        <x:v>12300</x:v>
      </x:c>
      <x:c r="F13" s="36" t="n">
        <x:v>165</x:v>
      </x:c>
      <x:c r="G13" s="40" t="n">
        <x:v>15</x:v>
      </x:c>
      <x:c r="H13" s="36" t="n">
        <x:f>E13*F13*(1+G13/100)</x:f>
        <x:v>2333925</x:v>
      </x:c>
    </x:row>
    <x:row r="14">
      <x:c r="A14" s="19" t="str">
        <x:v>Pavimentação Rodoviária SE-100 - Trecho Demonstrativo</x:v>
      </x:c>
      <x:c r="B14" s="19" t="str">
        <x:v>Pavimentação</x:v>
      </x:c>
      <x:c r="C14" s="19" t="str">
        <x:v>CBUQ faixa C</x:v>
      </x:c>
      <x:c r="D14" s="19" t="str">
        <x:v>t</x:v>
      </x:c>
      <x:c r="E14" s="19" t="n">
        <x:v>7800</x:v>
      </x:c>
      <x:c r="F14" s="36" t="n">
        <x:v>610</x:v>
      </x:c>
      <x:c r="G14" s="40" t="n">
        <x:v>15</x:v>
      </x:c>
      <x:c r="H14" s="36" t="n">
        <x:f>E14*F14*(1+G14/100)</x:f>
        <x:v>5471700</x:v>
      </x:c>
    </x:row>
    <x:row r="15">
      <x:c r="A15" s="19" t="str">
        <x:v>Pavimentação Rodoviária SE-100 - Trecho Demonstrativo</x:v>
      </x:c>
      <x:c r="B15" s="19" t="str">
        <x:v>Sinalização</x:v>
      </x:c>
      <x:c r="C15" s="19" t="str">
        <x:v>Sinalização horizontal e vertical</x:v>
      </x:c>
      <x:c r="D15" s="19" t="str">
        <x:v>vb</x:v>
      </x:c>
      <x:c r="E15" s="19" t="n">
        <x:v>1</x:v>
      </x:c>
      <x:c r="F15" s="36" t="n">
        <x:v>690000</x:v>
      </x:c>
      <x:c r="G15" s="40" t="n">
        <x:v>15</x:v>
      </x:c>
      <x:c r="H15" s="36" t="n">
        <x:f>E15*F15*(1+G15/100)</x:f>
        <x:v>793499.9999999999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f0087572389d4d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0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8" hidden="0" customWidth="1"/>
    <x:col min="8" max="8" width="16" hidden="0" customWidth="1"/>
  </x:cols>
  <x:sheetData>
    <x:row r="1">
      <x:c r="A1" s="31" t="str">
        <x:v>Obra</x:v>
      </x:c>
      <x:c r="B1" s="31" t="str">
        <x:v>Atividade</x:v>
      </x:c>
      <x:c r="C1" s="31" t="str">
        <x:v>Início</x:v>
      </x:c>
      <x:c r="D1" s="31" t="str">
        <x:v>Fim</x:v>
      </x:c>
      <x:c r="E1" s="31" t="str">
        <x:v>Responsável</x:v>
      </x:c>
      <x:c r="F1" s="31" t="str">
        <x:v>Progresso (%)</x:v>
      </x:c>
      <x:c r="G1" s="31" t="str">
        <x:v>Status</x:v>
      </x:c>
      <x:c r="H1" s="31" t="str">
        <x:v>Duração (dias)</x:v>
      </x:c>
    </x:row>
    <x:row r="2">
      <x:c r="A2" s="19" t="str">
        <x:v>Revitalização do Complexo Administrativo - Aracaju</x:v>
      </x:c>
      <x:c r="B2" s="19" t="str">
        <x:v>Mobilização e instalações provisórias</x:v>
      </x:c>
      <x:c r="C2" s="38" t="n">
        <x:v>46204</x:v>
      </x:c>
      <x:c r="D2" s="38" t="n">
        <x:v>46223</x:v>
      </x:c>
      <x:c r="E2" s="19" t="str">
        <x:v>Carlos Mendes</x:v>
      </x:c>
      <x:c r="F2" s="40" t="n">
        <x:v>100</x:v>
      </x:c>
      <x:c r="G2" s="19" t="str">
        <x:v>Concluída</x:v>
      </x:c>
      <x:c r="H2" s="19" t="n">
        <x:f>D2-C2+1</x:f>
        <x:v>20</x:v>
      </x:c>
    </x:row>
    <x:row r="3">
      <x:c r="A3" s="19" t="str">
        <x:v>Revitalização do Complexo Administrativo - Aracaju</x:v>
      </x:c>
      <x:c r="B3" s="19" t="str">
        <x:v>Demolições e remoções</x:v>
      </x:c>
      <x:c r="C3" s="38" t="n">
        <x:v>46218</x:v>
      </x:c>
      <x:c r="D3" s="38" t="n">
        <x:v>46254</x:v>
      </x:c>
      <x:c r="E3" s="19" t="str">
        <x:v>Marcos Lima</x:v>
      </x:c>
      <x:c r="F3" s="40" t="n">
        <x:v>100</x:v>
      </x:c>
      <x:c r="G3" s="19" t="str">
        <x:v>Concluída</x:v>
      </x:c>
      <x:c r="H3" s="19" t="n">
        <x:f>D3-C3+1</x:f>
        <x:v>37</x:v>
      </x:c>
    </x:row>
    <x:row r="4">
      <x:c r="A4" s="19" t="str">
        <x:v>Revitalização do Complexo Administrativo - Aracaju</x:v>
      </x:c>
      <x:c r="B4" s="19" t="str">
        <x:v>Reforço estrutural</x:v>
      </x:c>
      <x:c r="C4" s="38" t="n">
        <x:v>46244</x:v>
      </x:c>
      <x:c r="D4" s="38" t="n">
        <x:v>46310</x:v>
      </x:c>
      <x:c r="E4" s="19" t="str">
        <x:v>Ana Souza</x:v>
      </x:c>
      <x:c r="F4" s="40" t="n">
        <x:v>72</x:v>
      </x:c>
      <x:c r="G4" s="19" t="str">
        <x:v>Em andamento</x:v>
      </x:c>
      <x:c r="H4" s="19" t="n">
        <x:f>D4-C4+1</x:f>
        <x:v>67</x:v>
      </x:c>
    </x:row>
    <x:row r="5">
      <x:c r="A5" s="19" t="str">
        <x:v>Revitalização do Complexo Administrativo - Aracaju</x:v>
      </x:c>
      <x:c r="B5" s="19" t="str">
        <x:v>Instalações elétricas</x:v>
      </x:c>
      <x:c r="C5" s="38" t="n">
        <x:v>46266</x:v>
      </x:c>
      <x:c r="D5" s="38" t="n">
        <x:v>46376</x:v>
      </x:c>
      <x:c r="E5" s="19" t="str">
        <x:v>Paulo Reis</x:v>
      </x:c>
      <x:c r="F5" s="40" t="n">
        <x:v>35</x:v>
      </x:c>
      <x:c r="G5" s="19" t="str">
        <x:v>Em andamento</x:v>
      </x:c>
      <x:c r="H5" s="19" t="n">
        <x:f>D5-C5+1</x:f>
        <x:v>111</x:v>
      </x:c>
    </x:row>
    <x:row r="6">
      <x:c r="A6" s="19" t="str">
        <x:v>Revitalização do Complexo Administrativo - Aracaju</x:v>
      </x:c>
      <x:c r="B6" s="19" t="str">
        <x:v>Instalações hidrossanitárias</x:v>
      </x:c>
      <x:c r="C6" s="38" t="n">
        <x:v>46275</x:v>
      </x:c>
      <x:c r="D6" s="38" t="n">
        <x:v>46366</x:v>
      </x:c>
      <x:c r="E6" s="19" t="str">
        <x:v>Rafael Nunes</x:v>
      </x:c>
      <x:c r="F6" s="40" t="n">
        <x:v>30</x:v>
      </x:c>
      <x:c r="G6" s="19" t="str">
        <x:v>Em andamento</x:v>
      </x:c>
      <x:c r="H6" s="19" t="n">
        <x:f>D6-C6+1</x:f>
        <x:v>92</x:v>
      </x:c>
    </x:row>
    <x:row r="7">
      <x:c r="A7" s="19" t="str">
        <x:v>Revitalização do Complexo Administrativo - Aracaju</x:v>
      </x:c>
      <x:c r="B7" s="19" t="str">
        <x:v>Acabamentos e pintura</x:v>
      </x:c>
      <x:c r="C7" s="38" t="n">
        <x:v>46327</x:v>
      </x:c>
      <x:c r="D7" s="38" t="n">
        <x:v>46446</x:v>
      </x:c>
      <x:c r="E7" s="19" t="str">
        <x:v>Marina Alves</x:v>
      </x:c>
      <x:c r="F7" s="40" t="n">
        <x:v>0</x:v>
      </x:c>
      <x:c r="G7" s="19" t="str">
        <x:v>Não iniciada</x:v>
      </x:c>
      <x:c r="H7" s="19" t="n">
        <x:f>D7-C7+1</x:f>
        <x:v>120</x:v>
      </x:c>
    </x:row>
    <x:row r="8">
      <x:c r="A8" s="19" t="str">
        <x:v>Revitalização do Complexo Administrativo - Aracaju</x:v>
      </x:c>
      <x:c r="B8" s="19" t="str">
        <x:v>Comissionamento e entrega</x:v>
      </x:c>
      <x:c r="C8" s="38" t="n">
        <x:v>46447</x:v>
      </x:c>
      <x:c r="D8" s="38" t="n">
        <x:v>46477</x:v>
      </x:c>
      <x:c r="E8" s="19" t="str">
        <x:v>Carlos Mendes</x:v>
      </x:c>
      <x:c r="F8" s="40" t="n">
        <x:v>0</x:v>
      </x:c>
      <x:c r="G8" s="19" t="str">
        <x:v>Não iniciada</x:v>
      </x:c>
      <x:c r="H8" s="19" t="n">
        <x:f>D8-C8+1</x:f>
        <x:v>31</x:v>
      </x:c>
    </x:row>
    <x:row r="9">
      <x:c r="A9" s="19" t="str">
        <x:v>Pavimentação Rodoviária SE-100 - Trecho Demonstrativo</x:v>
      </x:c>
      <x:c r="B9" s="19" t="str">
        <x:v>Mobilização e topografia</x:v>
      </x:c>
      <x:c r="C9" s="38" t="n">
        <x:v>46188</x:v>
      </x:c>
      <x:c r="D9" s="38" t="n">
        <x:v>46218</x:v>
      </x:c>
      <x:c r="E9" s="19" t="str">
        <x:v>João Ferreira</x:v>
      </x:c>
      <x:c r="F9" s="40" t="n">
        <x:v>100</x:v>
      </x:c>
      <x:c r="G9" s="19" t="str">
        <x:v>Concluída</x:v>
      </x:c>
      <x:c r="H9" s="19" t="n">
        <x:f>D9-C9+1</x:f>
        <x:v>31</x:v>
      </x:c>
    </x:row>
    <x:row r="10">
      <x:c r="A10" s="19" t="str">
        <x:v>Pavimentação Rodoviária SE-100 - Trecho Demonstrativo</x:v>
      </x:c>
      <x:c r="B10" s="19" t="str">
        <x:v>Terraplenagem km 12-20</x:v>
      </x:c>
      <x:c r="C10" s="38" t="n">
        <x:v>46204</x:v>
      </x:c>
      <x:c r="D10" s="38" t="n">
        <x:v>46295</x:v>
      </x:c>
      <x:c r="E10" s="19" t="str">
        <x:v>Eduardo Costa</x:v>
      </x:c>
      <x:c r="F10" s="40" t="n">
        <x:v>70</x:v>
      </x:c>
      <x:c r="G10" s="19" t="str">
        <x:v>Em andamento</x:v>
      </x:c>
      <x:c r="H10" s="19" t="n">
        <x:f>D10-C10+1</x:f>
        <x:v>92</x:v>
      </x:c>
    </x:row>
    <x:row r="11">
      <x:c r="A11" s="19" t="str">
        <x:v>Pavimentação Rodoviária SE-100 - Trecho Demonstrativo</x:v>
      </x:c>
      <x:c r="B11" s="19" t="str">
        <x:v>Drenagem principal</x:v>
      </x:c>
      <x:c r="C11" s="38" t="n">
        <x:v>46218</x:v>
      </x:c>
      <x:c r="D11" s="38" t="n">
        <x:v>46356</x:v>
      </x:c>
      <x:c r="E11" s="19" t="str">
        <x:v>Luciano Melo</x:v>
      </x:c>
      <x:c r="F11" s="40" t="n">
        <x:v>42</x:v>
      </x:c>
      <x:c r="G11" s="19" t="str">
        <x:v>Em andamento</x:v>
      </x:c>
      <x:c r="H11" s="19" t="n">
        <x:f>D11-C11+1</x:f>
        <x:v>139</x:v>
      </x:c>
    </x:row>
    <x:row r="12">
      <x:c r="A12" s="19" t="str">
        <x:v>Pavimentação Rodoviária SE-100 - Trecho Demonstrativo</x:v>
      </x:c>
      <x:c r="B12" s="19" t="str">
        <x:v>Sub-base km 12-20</x:v>
      </x:c>
      <x:c r="C12" s="38" t="n">
        <x:v>46266</x:v>
      </x:c>
      <x:c r="D12" s="38" t="n">
        <x:v>46376</x:v>
      </x:c>
      <x:c r="E12" s="19" t="str">
        <x:v>Eduardo Costa</x:v>
      </x:c>
      <x:c r="F12" s="40" t="n">
        <x:v>25</x:v>
      </x:c>
      <x:c r="G12" s="19" t="str">
        <x:v>Em andamento</x:v>
      </x:c>
      <x:c r="H12" s="19" t="n">
        <x:f>D12-C12+1</x:f>
        <x:v>111</x:v>
      </x:c>
    </x:row>
    <x:row r="13">
      <x:c r="A13" s="19" t="str">
        <x:v>Pavimentação Rodoviária SE-100 - Trecho Demonstrativo</x:v>
      </x:c>
      <x:c r="B13" s="19" t="str">
        <x:v>Base e imprimação km 12-20</x:v>
      </x:c>
      <x:c r="C13" s="38" t="n">
        <x:v>46315</x:v>
      </x:c>
      <x:c r="D13" s="38" t="n">
        <x:v>46433</x:v>
      </x:c>
      <x:c r="E13" s="19" t="str">
        <x:v>Sérgio Santos</x:v>
      </x:c>
      <x:c r="F13" s="40" t="n">
        <x:v>10</x:v>
      </x:c>
      <x:c r="G13" s="19" t="str">
        <x:v>Em andamento</x:v>
      </x:c>
      <x:c r="H13" s="19" t="n">
        <x:f>D13-C13+1</x:f>
        <x:v>119</x:v>
      </x:c>
    </x:row>
    <x:row r="14">
      <x:c r="A14" s="19" t="str">
        <x:v>Pavimentação Rodoviária SE-100 - Trecho Demonstrativo</x:v>
      </x:c>
      <x:c r="B14" s="19" t="str">
        <x:v>CBUQ km 12-20</x:v>
      </x:c>
      <x:c r="C14" s="38" t="n">
        <x:v>46397</x:v>
      </x:c>
      <x:c r="D14" s="38" t="n">
        <x:v>46497</x:v>
      </x:c>
      <x:c r="E14" s="19" t="str">
        <x:v>Sérgio Santos</x:v>
      </x:c>
      <x:c r="F14" s="40" t="n">
        <x:v>0</x:v>
      </x:c>
      <x:c r="G14" s="19" t="str">
        <x:v>Não iniciada</x:v>
      </x:c>
      <x:c r="H14" s="19" t="n">
        <x:f>D14-C14+1</x:f>
        <x:v>101</x:v>
      </x:c>
    </x:row>
    <x:row r="15">
      <x:c r="A15" s="19" t="str">
        <x:v>Pavimentação Rodoviária SE-100 - Trecho Demonstrativo</x:v>
      </x:c>
      <x:c r="B15" s="19" t="str">
        <x:v>Sinalização e dispositivos</x:v>
      </x:c>
      <x:c r="C15" s="38" t="n">
        <x:v>46478</x:v>
      </x:c>
      <x:c r="D15" s="38" t="n">
        <x:v>46553</x:v>
      </x:c>
      <x:c r="E15" s="19" t="str">
        <x:v>Bruno Dias</x:v>
      </x:c>
      <x:c r="F15" s="40" t="n">
        <x:v>0</x:v>
      </x:c>
      <x:c r="G15" s="19" t="str">
        <x:v>Não iniciada</x:v>
      </x:c>
      <x:c r="H15" s="19" t="n">
        <x:f>D15-C15+1</x:f>
        <x:v>76</x:v>
      </x:c>
    </x:row>
  </x:sheetData>
  <x:dataValidations count="1">
    <x:dataValidation type="list" sqref="G2:G500">
      <x:formula1>"Não iniciada,Em andamento,Atrasada,Concluída"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018d5376f441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5" hidden="0" customWidth="1"/>
    <x:col min="5" max="5" width="16" hidden="0" customWidth="1"/>
    <x:col min="6" max="6" width="20" hidden="0" customWidth="1"/>
    <x:col min="7" max="7" width="16" hidden="0" customWidth="1"/>
  </x:cols>
  <x:sheetData>
    <x:row r="1">
      <x:c r="A1" s="31" t="str">
        <x:v>Obra</x:v>
      </x:c>
      <x:c r="B1" s="31" t="str">
        <x:v>Data</x:v>
      </x:c>
      <x:c r="C1" s="31" t="str">
        <x:v>Número</x:v>
      </x:c>
      <x:c r="D1" s="31" t="str">
        <x:v>Descrição</x:v>
      </x:c>
      <x:c r="E1" s="31" t="str">
        <x:v>Avanço físico (%)</x:v>
      </x:c>
      <x:c r="F1" s="31" t="str">
        <x:v>Valor medido</x:v>
      </x:c>
      <x:c r="G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19" t="str">
        <x:v>MED-001</x:v>
      </x:c>
      <x:c r="D2" s="19" t="str">
        <x:v>Mobilização e serviços preliminares</x:v>
      </x:c>
      <x:c r="E2" s="40" t="n">
        <x:v>6</x:v>
      </x:c>
      <x:c r="F2" s="36" t="n">
        <x:v>310000</x:v>
      </x:c>
      <x:c r="G2" s="19" t="str">
        <x:v>Paga</x:v>
      </x:c>
    </x:row>
    <x:row r="3">
      <x:c r="A3" s="19" t="str">
        <x:v>Revitalização do Complexo Administrativo - Aracaju</x:v>
      </x:c>
      <x:c r="B3" s="38" t="n">
        <x:v>46265</x:v>
      </x:c>
      <x:c r="C3" s="19" t="str">
        <x:v>MED-002</x:v>
      </x:c>
      <x:c r="D3" s="19" t="str">
        <x:v>Demolições e início do reforço estrutural</x:v>
      </x:c>
      <x:c r="E3" s="40" t="n">
        <x:v>9</x:v>
      </x:c>
      <x:c r="F3" s="36" t="n">
        <x:v>465000</x:v>
      </x:c>
      <x:c r="G3" s="19" t="str">
        <x:v>Paga</x:v>
      </x:c>
    </x:row>
    <x:row r="4">
      <x:c r="A4" s="19" t="str">
        <x:v>Revitalização do Complexo Administrativo - Aracaju</x:v>
      </x:c>
      <x:c r="B4" s="38" t="n">
        <x:v>46295</x:v>
      </x:c>
      <x:c r="C4" s="19" t="str">
        <x:v>MED-003</x:v>
      </x:c>
      <x:c r="D4" s="19" t="str">
        <x:v>Reforço estrutural e instalações</x:v>
      </x:c>
      <x:c r="E4" s="40" t="n">
        <x:v>8</x:v>
      </x:c>
      <x:c r="F4" s="36" t="n">
        <x:v>420000</x:v>
      </x:c>
      <x:c r="G4" s="19" t="str">
        <x:v>Faturada</x:v>
      </x:c>
    </x:row>
    <x:row r="5">
      <x:c r="A5" s="19" t="str">
        <x:v>Revitalização do Complexo Administrativo - Aracaju</x:v>
      </x:c>
      <x:c r="B5" s="38" t="n">
        <x:v>46326</x:v>
      </x:c>
      <x:c r="C5" s="19" t="str">
        <x:v>MED-004</x:v>
      </x:c>
      <x:c r="D5" s="19" t="str">
        <x:v>Estrutura e instalações - parcial</x:v>
      </x:c>
      <x:c r="E5" s="40" t="n">
        <x:v>5</x:v>
      </x:c>
      <x:c r="F5" s="36" t="n">
        <x:v>285000</x:v>
      </x:c>
      <x:c r="G5" s="19" t="str">
        <x:v>Aprovada</x:v>
      </x:c>
    </x:row>
    <x:row r="6">
      <x:c r="A6" s="19" t="str">
        <x:v>Pavimentação Rodoviária SE-100 - Trecho Demonstrativo</x:v>
      </x:c>
      <x:c r="B6" s="38" t="n">
        <x:v>46234</x:v>
      </x:c>
      <x:c r="C6" s="19" t="str">
        <x:v>MED-001</x:v>
      </x:c>
      <x:c r="D6" s="19" t="str">
        <x:v>Mobilização, topografia e terraplenagem inicial</x:v>
      </x:c>
      <x:c r="E6" s="40" t="n">
        <x:v>5</x:v>
      </x:c>
      <x:c r="F6" s="36" t="n">
        <x:v>620000</x:v>
      </x:c>
      <x:c r="G6" s="19" t="str">
        <x:v>Paga</x:v>
      </x:c>
    </x:row>
    <x:row r="7">
      <x:c r="A7" s="19" t="str">
        <x:v>Pavimentação Rodoviária SE-100 - Trecho Demonstrativo</x:v>
      </x:c>
      <x:c r="B7" s="38" t="n">
        <x:v>46265</x:v>
      </x:c>
      <x:c r="C7" s="19" t="str">
        <x:v>MED-002</x:v>
      </x:c>
      <x:c r="D7" s="19" t="str">
        <x:v>Terraplenagem e drenagem</x:v>
      </x:c>
      <x:c r="E7" s="40" t="n">
        <x:v>6</x:v>
      </x:c>
      <x:c r="F7" s="36" t="n">
        <x:v>760000</x:v>
      </x:c>
      <x:c r="G7" s="19" t="str">
        <x:v>Paga</x:v>
      </x:c>
    </x:row>
    <x:row r="8">
      <x:c r="A8" s="19" t="str">
        <x:v>Pavimentação Rodoviária SE-100 - Trecho Demonstrativo</x:v>
      </x:c>
      <x:c r="B8" s="38" t="n">
        <x:v>46295</x:v>
      </x:c>
      <x:c r="C8" s="19" t="str">
        <x:v>MED-003</x:v>
      </x:c>
      <x:c r="D8" s="19" t="str">
        <x:v>Terraplenagem, drenagem e sub-base</x:v>
      </x:c>
      <x:c r="E8" s="40" t="n">
        <x:v>6</x:v>
      </x:c>
      <x:c r="F8" s="36" t="n">
        <x:v>810000</x:v>
      </x:c>
      <x:c r="G8" s="19" t="str">
        <x:v>Faturada</x:v>
      </x:c>
    </x:row>
    <x:row r="9">
      <x:c r="A9" s="19" t="str">
        <x:v>Pavimentação Rodoviária SE-100 - Trecho Demonstrativo</x:v>
      </x:c>
      <x:c r="B9" s="38" t="n">
        <x:v>46326</x:v>
      </x:c>
      <x:c r="C9" s="19" t="str">
        <x:v>MED-004</x:v>
      </x:c>
      <x:c r="D9" s="19" t="str">
        <x:v>Sub-base e drenagem</x:v>
      </x:c>
      <x:c r="E9" s="40" t="n">
        <x:v>5</x:v>
      </x:c>
      <x:c r="F9" s="36" t="n">
        <x:v>690000</x:v>
      </x:c>
      <x:c r="G9" s="19" t="str">
        <x:v>Aprovada</x:v>
      </x:c>
    </x:row>
  </x:sheetData>
  <x:dataValidations count="1">
    <x:dataValidation type="list" sqref="G2:G500">
      <x:formula1>"Pendente,Aprovada,Faturada,Paga"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35702db99047f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8" hidden="0" customWidth="1"/>
    <x:col min="4" max="4" width="18" hidden="0" customWidth="1"/>
    <x:col min="5" max="5" width="16" hidden="0" customWidth="1"/>
    <x:col min="6" max="6" width="12" hidden="0" customWidth="1"/>
    <x:col min="7" max="7" width="18" hidden="0" customWidth="1"/>
    <x:col min="8" max="8" width="16" hidden="0" customWidth="1"/>
  </x:cols>
  <x:sheetData>
    <x:row r="1">
      <x:c r="A1" s="52" t="str">
        <x:v>Equipamento</x:v>
      </x:c>
      <x:c r="B1" s="52" t="str">
        <x:v>Patrimônio ou código</x:v>
      </x:c>
      <x:c r="C1" s="52" t="str">
        <x:v>Obra alocada</x:v>
      </x:c>
      <x:c r="D1" s="52" t="str">
        <x:v>Início de alocação</x:v>
      </x:c>
      <x:c r="E1" s="52" t="str">
        <x:v>Custo mensal</x:v>
      </x:c>
      <x:c r="F1" s="52" t="str">
        <x:v>Horímetro</x:v>
      </x:c>
      <x:c r="G1" s="52" t="str">
        <x:v>Próxima manutenção</x:v>
      </x:c>
      <x:c r="H1" s="52" t="str">
        <x:v>Status</x:v>
      </x:c>
    </x:row>
    <x:row r="2">
      <x:c r="A2" s="19" t="str">
        <x:v>Betoneira 400 L</x:v>
      </x:c>
      <x:c r="B2" s="19" t="str">
        <x:v>EQ-001</x:v>
      </x:c>
      <x:c r="C2" s="19" t="str">
        <x:v>Revitalização do Complexo Administrativo - Aracaju</x:v>
      </x:c>
      <x:c r="D2" s="38" t="n">
        <x:v>46204</x:v>
      </x:c>
      <x:c r="E2" s="36" t="n">
        <x:v>2800</x:v>
      </x:c>
      <x:c r="F2" s="19" t="n">
        <x:v>840</x:v>
      </x:c>
      <x:c r="G2" s="38" t="n">
        <x:v>46310</x:v>
      </x:c>
      <x:c r="H2" s="19" t="str">
        <x:v>Operacional</x:v>
      </x:c>
    </x:row>
    <x:row r="3">
      <x:c r="A3" s="19" t="str">
        <x:v>Plataforma elevatória</x:v>
      </x:c>
      <x:c r="B3" s="19" t="str">
        <x:v>EQ-002</x:v>
      </x:c>
      <x:c r="C3" s="19" t="str">
        <x:v>Revitalização do Complexo Administrativo - Aracaju</x:v>
      </x:c>
      <x:c r="D3" s="38" t="n">
        <x:v>46204</x:v>
      </x:c>
      <x:c r="E3" s="36" t="n">
        <x:v>12500</x:v>
      </x:c>
      <x:c r="F3" s="19" t="n">
        <x:v>420</x:v>
      </x:c>
      <x:c r="G3" s="38" t="n">
        <x:v>46320</x:v>
      </x:c>
      <x:c r="H3" s="19" t="str">
        <x:v>Operacional</x:v>
      </x:c>
    </x:row>
    <x:row r="4">
      <x:c r="A4" s="19" t="str">
        <x:v>Gerador 75 kVA</x:v>
      </x:c>
      <x:c r="B4" s="19" t="str">
        <x:v>EQ-003</x:v>
      </x:c>
      <x:c r="C4" s="19" t="str">
        <x:v>Revitalização do Complexo Administrativo - Aracaju</x:v>
      </x:c>
      <x:c r="D4" s="38" t="n">
        <x:v>46208</x:v>
      </x:c>
      <x:c r="E4" s="36" t="n">
        <x:v>6900</x:v>
      </x:c>
      <x:c r="F4" s="19" t="n">
        <x:v>690</x:v>
      </x:c>
      <x:c r="G4" s="38" t="n">
        <x:v>46331</x:v>
      </x:c>
      <x:c r="H4" s="19" t="str">
        <x:v>Operacional</x:v>
      </x:c>
    </x:row>
    <x:row r="5">
      <x:c r="A5" s="19" t="str">
        <x:v>Escavadeira hidráulica 22 t</x:v>
      </x:c>
      <x:c r="B5" s="19" t="str">
        <x:v>EQ-101</x:v>
      </x:c>
      <x:c r="C5" s="19" t="str">
        <x:v>Pavimentação Rodoviária SE-100 - Trecho Demonstrativo</x:v>
      </x:c>
      <x:c r="D5" s="38" t="n">
        <x:v>46188</x:v>
      </x:c>
      <x:c r="E5" s="36" t="n">
        <x:v>38500</x:v>
      </x:c>
      <x:c r="F5" s="19" t="n">
        <x:v>2850</x:v>
      </x:c>
      <x:c r="G5" s="38" t="n">
        <x:v>46305</x:v>
      </x:c>
      <x:c r="H5" s="19" t="str">
        <x:v>Operacional</x:v>
      </x:c>
    </x:row>
    <x:row r="6">
      <x:c r="A6" s="19" t="str">
        <x:v>Rolo compactador 12 t</x:v>
      </x:c>
      <x:c r="B6" s="19" t="str">
        <x:v>EQ-102</x:v>
      </x:c>
      <x:c r="C6" s="19" t="str">
        <x:v>Pavimentação Rodoviária SE-100 - Trecho Demonstrativo</x:v>
      </x:c>
      <x:c r="D6" s="38" t="n">
        <x:v>46193</x:v>
      </x:c>
      <x:c r="E6" s="36" t="n">
        <x:v>24500</x:v>
      </x:c>
      <x:c r="F6" s="19" t="n">
        <x:v>1980</x:v>
      </x:c>
      <x:c r="G6" s="38" t="n">
        <x:v>46313</x:v>
      </x:c>
      <x:c r="H6" s="19" t="str">
        <x:v>Operacional</x:v>
      </x:c>
    </x:row>
    <x:row r="7">
      <x:c r="A7" s="19" t="str">
        <x:v>Motoniveladora</x:v>
      </x:c>
      <x:c r="B7" s="19" t="str">
        <x:v>EQ-103</x:v>
      </x:c>
      <x:c r="C7" s="19" t="str">
        <x:v>Pavimentação Rodoviária SE-100 - Trecho Demonstrativo</x:v>
      </x:c>
      <x:c r="D7" s="38" t="n">
        <x:v>46188</x:v>
      </x:c>
      <x:c r="E7" s="36" t="n">
        <x:v>42000</x:v>
      </x:c>
      <x:c r="F7" s="19" t="n">
        <x:v>3150</x:v>
      </x:c>
      <x:c r="G7" s="38" t="n">
        <x:v>46307</x:v>
      </x:c>
      <x:c r="H7" s="19" t="str">
        <x:v>Manutenção</x:v>
      </x:c>
    </x:row>
    <x:row r="8">
      <x:c r="A8" s="19" t="str">
        <x:v>Vibroacabadora</x:v>
      </x:c>
      <x:c r="B8" s="19" t="str">
        <x:v>EQ-104</x:v>
      </x:c>
      <x:c r="C8" s="19" t="str">
        <x:v>Pavimentação Rodoviária SE-100 - Trecho Demonstrativo</x:v>
      </x:c>
      <x:c r="D8" s="38" t="n">
        <x:v>46235</x:v>
      </x:c>
      <x:c r="E8" s="36" t="n">
        <x:v>46500</x:v>
      </x:c>
      <x:c r="F8" s="19" t="n">
        <x:v>1100</x:v>
      </x:c>
      <x:c r="G8" s="38" t="n">
        <x:v>46392</x:v>
      </x:c>
      <x:c r="H8" s="19" t="str">
        <x:v>Parado</x:v>
      </x:c>
    </x:row>
  </x:sheetData>
  <x:dataValidations count="1">
    <x:dataValidation type="list" sqref="F2:F500">
      <x:formula1>"Operacional,Manutenção,Parado"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457f6650a49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0" hidden="0" customWidth="1"/>
    <x:col min="3" max="3" width="14" hidden="0" customWidth="1"/>
    <x:col min="4" max="4" width="18" hidden="0" customWidth="1"/>
    <x:col min="5" max="5" width="46" hidden="0" customWidth="1"/>
    <x:col min="6" max="6" width="20" hidden="0" customWidth="1"/>
    <x:col min="7" max="7" width="22" hidden="0" customWidth="1"/>
  </x:cols>
  <x:sheetData>
    <x:row r="1">
      <x:c r="A1" s="31" t="str">
        <x:v>Obra</x:v>
      </x:c>
      <x:c r="B1" s="31" t="str">
        <x:v>Fornecedor</x:v>
      </x:c>
      <x:c r="C1" s="31" t="str">
        <x:v>Data</x:v>
      </x:c>
      <x:c r="D1" s="31" t="str">
        <x:v>Prazo de entrega</x:v>
      </x:c>
      <x:c r="E1" s="31" t="str">
        <x:v>Itens ou descrição</x:v>
      </x:c>
      <x:c r="F1" s="31" t="str">
        <x:v>Valor total</x:v>
      </x:c>
      <x:c r="G1" s="31" t="str">
        <x:v>Status</x:v>
      </x:c>
    </x:row>
    <x:row r="2">
      <x:c r="A2" s="19" t="str">
        <x:v>Revitalização do Complexo Administrativo - Aracaju</x:v>
      </x:c>
      <x:c r="B2" s="19" t="str">
        <x:v>Concrefort Materiais Ltda</x:v>
      </x:c>
      <x:c r="C2" s="38" t="n">
        <x:v>46239</x:v>
      </x:c>
      <x:c r="D2" s="38" t="n">
        <x:v>46246</x:v>
      </x:c>
      <x:c r="E2" s="19" t="str">
        <x:v>Concreto usinado fck 30 MPa</x:v>
      </x:c>
      <x:c r="F2" s="36" t="n">
        <x:v>128000</x:v>
      </x:c>
      <x:c r="G2" s="19" t="str">
        <x:v>Entregue</x:v>
      </x:c>
    </x:row>
    <x:row r="3">
      <x:c r="A3" s="19" t="str">
        <x:v>Revitalização do Complexo Administrativo - Aracaju</x:v>
      </x:c>
      <x:c r="B3" s="19" t="str">
        <x:v>EletroNordeste Comercial</x:v>
      </x:c>
      <x:c r="C3" s="38" t="n">
        <x:v>46267</x:v>
      </x:c>
      <x:c r="D3" s="38" t="n">
        <x:v>46285</x:v>
      </x:c>
      <x:c r="E3" s="19" t="str">
        <x:v>Quadros, cabos, eletrodutos e luminárias</x:v>
      </x:c>
      <x:c r="F3" s="36" t="n">
        <x:v>185000</x:v>
      </x:c>
      <x:c r="G3" s="19" t="str">
        <x:v>Aprovado</x:v>
      </x:c>
    </x:row>
    <x:row r="4">
      <x:c r="A4" s="19" t="str">
        <x:v>Revitalização do Complexo Administrativo - Aracaju</x:v>
      </x:c>
      <x:c r="B4" s="19" t="str">
        <x:v>LocaMáq Equipamentos</x:v>
      </x:c>
      <x:c r="C4" s="38" t="n">
        <x:v>46270</x:v>
      </x:c>
      <x:c r="D4" s="38" t="n">
        <x:v>46272</x:v>
      </x:c>
      <x:c r="E4" s="19" t="str">
        <x:v>Locação plataforma elevatória - 60 dias</x:v>
      </x:c>
      <x:c r="F4" s="36" t="n">
        <x:v>72000</x:v>
      </x:c>
      <x:c r="G4" s="19" t="str">
        <x:v>Entregue</x:v>
      </x:c>
    </x:row>
    <x:row r="5">
      <x:c r="A5" s="19" t="str">
        <x:v>Revitalização do Complexo Administrativo - Aracaju</x:v>
      </x:c>
      <x:c r="B5" s="19" t="str">
        <x:v>SegWork EPI Ltda</x:v>
      </x:c>
      <x:c r="C5" s="38" t="n">
        <x:v>46275</x:v>
      </x:c>
      <x:c r="D5" s="38" t="n">
        <x:v>46280</x:v>
      </x:c>
      <x:c r="E5" s="19" t="str">
        <x:v>EPI/EPC equipe civil e elétrica</x:v>
      </x:c>
      <x:c r="F5" s="36" t="n">
        <x:v>18500</x:v>
      </x:c>
      <x:c r="G5" s="19" t="str">
        <x:v>Entregue</x:v>
      </x:c>
    </x:row>
    <x:row r="6">
      <x:c r="A6" s="19" t="str">
        <x:v>Pavimentação Rodoviária SE-100 - Trecho Demonstrativo</x:v>
      </x:c>
      <x:c r="B6" s="19" t="str">
        <x:v>PavMix Asfaltos Ltda</x:v>
      </x:c>
      <x:c r="C6" s="38" t="n">
        <x:v>46280</x:v>
      </x:c>
      <x:c r="D6" s="38" t="n">
        <x:v>46392</x:v>
      </x:c>
      <x:c r="E6" s="19" t="str">
        <x:v>Fornecimento programado de CBUQ</x:v>
      </x:c>
      <x:c r="F6" s="36" t="n">
        <x:v>2380000</x:v>
      </x:c>
      <x:c r="G6" s="19" t="str">
        <x:v>Aprovado</x:v>
      </x:c>
    </x:row>
    <x:row r="7">
      <x:c r="A7" s="19" t="str">
        <x:v>Pavimentação Rodoviária SE-100 - Trecho Demonstrativo</x:v>
      </x:c>
      <x:c r="B7" s="19" t="str">
        <x:v>Concrefort Materiais Ltda</x:v>
      </x:c>
      <x:c r="C7" s="38" t="n">
        <x:v>46223</x:v>
      </x:c>
      <x:c r="D7" s="38" t="n">
        <x:v>46233</x:v>
      </x:c>
      <x:c r="E7" s="19" t="str">
        <x:v>Tubos e concreto para drenagem</x:v>
      </x:c>
      <x:c r="F7" s="36" t="n">
        <x:v>410000</x:v>
      </x:c>
      <x:c r="G7" s="19" t="str">
        <x:v>Entregue</x:v>
      </x:c>
    </x:row>
    <x:row r="8">
      <x:c r="A8" s="19" t="str">
        <x:v>Pavimentação Rodoviária SE-100 - Trecho Demonstrativo</x:v>
      </x:c>
      <x:c r="B8" s="19" t="str">
        <x:v>LocaMáq Equipamentos</x:v>
      </x:c>
      <x:c r="C8" s="38" t="n">
        <x:v>46204</x:v>
      </x:c>
      <x:c r="D8" s="38" t="n">
        <x:v>46206</x:v>
      </x:c>
      <x:c r="E8" s="19" t="str">
        <x:v>Locação rolo, escavadeira e motoniveladora</x:v>
      </x:c>
      <x:c r="F8" s="36" t="n">
        <x:v>495000</x:v>
      </x:c>
      <x:c r="G8" s="19" t="str">
        <x:v>Entregue</x:v>
      </x:c>
    </x:row>
    <x:row r="9">
      <x:c r="A9" s="19" t="str">
        <x:v>Pavimentação Rodoviária SE-100 - Trecho Demonstrativo</x:v>
      </x:c>
      <x:c r="B9" s="19" t="str">
        <x:v>SegWork EPI Ltda</x:v>
      </x:c>
      <x:c r="C9" s="38" t="n">
        <x:v>46236</x:v>
      </x:c>
      <x:c r="D9" s="38" t="n">
        <x:v>46242</x:v>
      </x:c>
      <x:c r="E9" s="19" t="str">
        <x:v>EPI, cones e sinalização temporária</x:v>
      </x:c>
      <x:c r="F9" s="36" t="n">
        <x:v>84000</x:v>
      </x:c>
      <x:c r="G9" s="19" t="str">
        <x:v>Entregue</x:v>
      </x:c>
    </x:row>
  </x:sheetData>
  <x:dataValidations count="1">
    <x:dataValidation type="list" sqref="G2:G500">
      <x:formula1>"Solicitado,Em cotação,Aguardando aprovação,Aprovado,Entregue,Cancelado"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4839ead36643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2" hidden="0" customWidth="1"/>
    <x:col min="5" max="5" width="14" hidden="0" customWidth="1"/>
    <x:col min="6" max="6" width="20" hidden="0" customWidth="1"/>
    <x:col min="7" max="7" width="18" hidden="0" customWidth="1"/>
    <x:col min="8" max="8" width="16" hidden="0" customWidth="1"/>
  </x:cols>
  <x:sheetData>
    <x:row r="1">
      <x:c r="A1" s="31" t="str">
        <x:v>Obra</x:v>
      </x:c>
      <x:c r="B1" s="31" t="str">
        <x:v>Competência</x:v>
      </x:c>
      <x:c r="C1" s="31" t="str">
        <x:v>Vencimento</x:v>
      </x:c>
      <x:c r="D1" s="31" t="str">
        <x:v>Descrição</x:v>
      </x:c>
      <x:c r="E1" s="31" t="str">
        <x:v>Tipo</x:v>
      </x:c>
      <x:c r="F1" s="31" t="str">
        <x:v>Categoria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38" t="n">
        <x:v>46244</x:v>
      </x:c>
      <x:c r="D2" s="19" t="str">
        <x:v>Recebimento MED-001</x:v>
      </x:c>
      <x:c r="E2" s="19" t="str">
        <x:v>Receita</x:v>
      </x:c>
      <x:c r="F2" s="19" t="str">
        <x:v>Medição</x:v>
      </x:c>
      <x:c r="G2" s="36" t="n">
        <x:v>310000</x:v>
      </x:c>
      <x:c r="H2" s="19" t="str">
        <x:v>Recebido</x:v>
      </x:c>
    </x:row>
    <x:row r="3">
      <x:c r="A3" s="19" t="str">
        <x:v>Revitalização do Complexo Administrativo - Aracaju</x:v>
      </x:c>
      <x:c r="B3" s="38" t="n">
        <x:v>46265</x:v>
      </x:c>
      <x:c r="C3" s="38" t="n">
        <x:v>46275</x:v>
      </x:c>
      <x:c r="D3" s="19" t="str">
        <x:v>Recebimento MED-002</x:v>
      </x:c>
      <x:c r="E3" s="19" t="str">
        <x:v>Receita</x:v>
      </x:c>
      <x:c r="F3" s="19" t="str">
        <x:v>Medição</x:v>
      </x:c>
      <x:c r="G3" s="36" t="n">
        <x:v>465000</x:v>
      </x:c>
      <x:c r="H3" s="19" t="str">
        <x:v>Recebido</x:v>
      </x:c>
    </x:row>
    <x:row r="4">
      <x:c r="A4" s="19" t="str">
        <x:v>Revitalização do Complexo Administrativo - Aracaju</x:v>
      </x:c>
      <x:c r="B4" s="38" t="n">
        <x:v>46295</x:v>
      </x:c>
      <x:c r="C4" s="38" t="n">
        <x:v>46305</x:v>
      </x:c>
      <x:c r="D4" s="19" t="str">
        <x:v>Fatura MED-003</x:v>
      </x:c>
      <x:c r="E4" s="19" t="str">
        <x:v>Receita</x:v>
      </x:c>
      <x:c r="F4" s="19" t="str">
        <x:v>Medição</x:v>
      </x:c>
      <x:c r="G4" s="36" t="n">
        <x:v>420000</x:v>
      </x:c>
      <x:c r="H4" s="19" t="str">
        <x:v>Pendente</x:v>
      </x:c>
    </x:row>
    <x:row r="5">
      <x:c r="A5" s="19" t="str">
        <x:v>Revitalização do Complexo Administrativo - Aracaju</x:v>
      </x:c>
      <x:c r="B5" s="38" t="n">
        <x:v>46295</x:v>
      </x:c>
      <x:c r="C5" s="38" t="n">
        <x:v>46300</x:v>
      </x:c>
      <x:c r="D5" s="19" t="str">
        <x:v>Folha e encargos setembro</x:v>
      </x:c>
      <x:c r="E5" s="19" t="str">
        <x:v>Despesa</x:v>
      </x:c>
      <x:c r="F5" s="19" t="str">
        <x:v>Pessoal</x:v>
      </x:c>
      <x:c r="G5" s="36" t="n">
        <x:v>148000</x:v>
      </x:c>
      <x:c r="H5" s="19" t="str">
        <x:v>Pago</x:v>
      </x:c>
    </x:row>
    <x:row r="6">
      <x:c r="A6" s="19" t="str">
        <x:v>Revitalização do Complexo Administrativo - Aracaju</x:v>
      </x:c>
      <x:c r="B6" s="38" t="n">
        <x:v>46295</x:v>
      </x:c>
      <x:c r="C6" s="38" t="n">
        <x:v>46303</x:v>
      </x:c>
      <x:c r="D6" s="19" t="str">
        <x:v>Materiais elétricos</x:v>
      </x:c>
      <x:c r="E6" s="19" t="str">
        <x:v>Despesa</x:v>
      </x:c>
      <x:c r="F6" s="19" t="str">
        <x:v>Materiais</x:v>
      </x:c>
      <x:c r="G6" s="36" t="n">
        <x:v>185000</x:v>
      </x:c>
      <x:c r="H6" s="19" t="str">
        <x:v>Pendente</x:v>
      </x:c>
    </x:row>
    <x:row r="7">
      <x:c r="A7" s="19" t="str">
        <x:v>Revitalização do Complexo Administrativo - Aracaju</x:v>
      </x:c>
      <x:c r="B7" s="38" t="n">
        <x:v>46295</x:v>
      </x:c>
      <x:c r="C7" s="38" t="n">
        <x:v>46307</x:v>
      </x:c>
      <x:c r="D7" s="19" t="str">
        <x:v>Locações e equipamentos</x:v>
      </x:c>
      <x:c r="E7" s="19" t="str">
        <x:v>Despesa</x:v>
      </x:c>
      <x:c r="F7" s="19" t="str">
        <x:v>Equipamentos</x:v>
      </x:c>
      <x:c r="G7" s="36" t="n">
        <x:v>72000</x:v>
      </x:c>
      <x:c r="H7" s="19" t="str">
        <x:v>Pago</x:v>
      </x:c>
    </x:row>
    <x:row r="8">
      <x:c r="A8" s="19" t="str">
        <x:v>Pavimentação Rodoviária SE-100 - Trecho Demonstrativo</x:v>
      </x:c>
      <x:c r="B8" s="38" t="n">
        <x:v>46234</x:v>
      </x:c>
      <x:c r="C8" s="38" t="n">
        <x:v>46249</x:v>
      </x:c>
      <x:c r="D8" s="19" t="str">
        <x:v>Recebimento MED-001</x:v>
      </x:c>
      <x:c r="E8" s="19" t="str">
        <x:v>Receita</x:v>
      </x:c>
      <x:c r="F8" s="19" t="str">
        <x:v>Medição</x:v>
      </x:c>
      <x:c r="G8" s="36" t="n">
        <x:v>620000</x:v>
      </x:c>
      <x:c r="H8" s="19" t="str">
        <x:v>Recebido</x:v>
      </x:c>
    </x:row>
    <x:row r="9">
      <x:c r="A9" s="19" t="str">
        <x:v>Pavimentação Rodoviária SE-100 - Trecho Demonstrativo</x:v>
      </x:c>
      <x:c r="B9" s="38" t="n">
        <x:v>46265</x:v>
      </x:c>
      <x:c r="C9" s="38" t="n">
        <x:v>46280</x:v>
      </x:c>
      <x:c r="D9" s="19" t="str">
        <x:v>Recebimento MED-002</x:v>
      </x:c>
      <x:c r="E9" s="19" t="str">
        <x:v>Receita</x:v>
      </x:c>
      <x:c r="F9" s="19" t="str">
        <x:v>Medição</x:v>
      </x:c>
      <x:c r="G9" s="36" t="n">
        <x:v>760000</x:v>
      </x:c>
      <x:c r="H9" s="19" t="str">
        <x:v>Recebido</x:v>
      </x:c>
    </x:row>
    <x:row r="10">
      <x:c r="A10" s="19" t="str">
        <x:v>Pavimentação Rodoviária SE-100 - Trecho Demonstrativo</x:v>
      </x:c>
      <x:c r="B10" s="38" t="n">
        <x:v>46295</x:v>
      </x:c>
      <x:c r="C10" s="38" t="n">
        <x:v>46310</x:v>
      </x:c>
      <x:c r="D10" s="19" t="str">
        <x:v>Fatura MED-003</x:v>
      </x:c>
      <x:c r="E10" s="19" t="str">
        <x:v>Receita</x:v>
      </x:c>
      <x:c r="F10" s="19" t="str">
        <x:v>Medição</x:v>
      </x:c>
      <x:c r="G10" s="36" t="n">
        <x:v>810000</x:v>
      </x:c>
      <x:c r="H10" s="19" t="str">
        <x:v>Pendente</x:v>
      </x:c>
    </x:row>
    <x:row r="11">
      <x:c r="A11" s="19" t="str">
        <x:v>Pavimentação Rodoviária SE-100 - Trecho Demonstrativo</x:v>
      </x:c>
      <x:c r="B11" s="38" t="n">
        <x:v>46295</x:v>
      </x:c>
      <x:c r="C11" s="38" t="n">
        <x:v>46300</x:v>
      </x:c>
      <x:c r="D11" s="19" t="str">
        <x:v>Folha e encargos setembro</x:v>
      </x:c>
      <x:c r="E11" s="19" t="str">
        <x:v>Despesa</x:v>
      </x:c>
      <x:c r="F11" s="19" t="str">
        <x:v>Pessoal</x:v>
      </x:c>
      <x:c r="G11" s="36" t="n">
        <x:v>285000</x:v>
      </x:c>
      <x:c r="H11" s="19" t="str">
        <x:v>Pago</x:v>
      </x:c>
    </x:row>
    <x:row r="12">
      <x:c r="A12" s="19" t="str">
        <x:v>Pavimentação Rodoviária SE-100 - Trecho Demonstrativo</x:v>
      </x:c>
      <x:c r="B12" s="38" t="n">
        <x:v>46295</x:v>
      </x:c>
      <x:c r="C12" s="38" t="n">
        <x:v>46305</x:v>
      </x:c>
      <x:c r="D12" s="19" t="str">
        <x:v>Locação equipamentos pesados</x:v>
      </x:c>
      <x:c r="E12" s="19" t="str">
        <x:v>Despesa</x:v>
      </x:c>
      <x:c r="F12" s="19" t="str">
        <x:v>Equipamentos</x:v>
      </x:c>
      <x:c r="G12" s="36" t="n">
        <x:v>165000</x:v>
      </x:c>
      <x:c r="H12" s="19" t="str">
        <x:v>Pago</x:v>
      </x:c>
    </x:row>
    <x:row r="13">
      <x:c r="A13" s="19" t="str">
        <x:v>Pavimentação Rodoviária SE-100 - Trecho Demonstrativo</x:v>
      </x:c>
      <x:c r="B13" s="38" t="n">
        <x:v>46295</x:v>
      </x:c>
      <x:c r="C13" s="38" t="n">
        <x:v>46307</x:v>
      </x:c>
      <x:c r="D13" s="19" t="str">
        <x:v>Materiais drenagem</x:v>
      </x:c>
      <x:c r="E13" s="19" t="str">
        <x:v>Despesa</x:v>
      </x:c>
      <x:c r="F13" s="19" t="str">
        <x:v>Materiais</x:v>
      </x:c>
      <x:c r="G13" s="36" t="n">
        <x:v>210000</x:v>
      </x:c>
      <x:c r="H13" s="19" t="str">
        <x:v>Pendente</x:v>
      </x:c>
    </x:row>
    <x:row r="14">
      <x:c r="A14" s="19" t="str">
        <x:v>Pavimentação Rodoviária SE-100 - Trecho Demonstrativo</x:v>
      </x:c>
      <x:c r="B14" s="38" t="n">
        <x:v>46296</x:v>
      </x:c>
      <x:c r="C14" s="38" t="n">
        <x:v>46336</x:v>
      </x:c>
      <x:c r="D14" s="19" t="str">
        <x:v>Provisionamento CBUQ</x:v>
      </x:c>
      <x:c r="E14" s="19" t="str">
        <x:v>Despesa</x:v>
      </x:c>
      <x:c r="F14" s="19" t="str">
        <x:v>Materiais</x:v>
      </x:c>
      <x:c r="G14" s="36" t="n">
        <x:v>480000</x:v>
      </x:c>
      <x:c r="H14" s="19" t="str">
        <x:v>Previsto</x:v>
      </x:c>
    </x:row>
  </x:sheetData>
  <x:dataValidations count="2">
    <x:dataValidation type="list" sqref="E2:E500">
      <x:formula1>"Receita,Despesa"</x:formula1>
    </x:dataValidation>
    <x:dataValidation type="list" sqref="H2:H500">
      <x:formula1>"Previsto,Pendente,Pago,Recebido,Vencido"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b8c48067644d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30" hidden="0" customWidth="1"/>
    <x:col min="4" max="4" width="50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</x:cols>
  <x:sheetData>
    <x:row r="1">
      <x:c r="A1" s="31" t="str">
        <x:v>Obra</x:v>
      </x:c>
      <x:c r="B1" s="31" t="str">
        <x:v>Número</x:v>
      </x:c>
      <x:c r="C1" s="31" t="str">
        <x:v>Contraparte</x:v>
      </x:c>
      <x:c r="D1" s="31" t="str">
        <x:v>Objeto</x:v>
      </x:c>
      <x:c r="E1" s="31" t="str">
        <x:v>Início</x:v>
      </x:c>
      <x:c r="F1" s="31" t="str">
        <x:v>Fim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19" t="str">
        <x:v>CT-001/2026</x:v>
      </x:c>
      <x:c r="C2" s="19" t="str">
        <x:v>Grupo Exemplo Engenharia S.A.</x:v>
      </x:c>
      <x:c r="D2" s="19" t="str">
        <x:v>Contrato principal de revitalização</x:v>
      </x:c>
      <x:c r="E2" s="38" t="n">
        <x:v>46204</x:v>
      </x:c>
      <x:c r="F2" s="38" t="n">
        <x:v>46477</x:v>
      </x:c>
      <x:c r="G2" s="36" t="n">
        <x:v>4850000</x:v>
      </x:c>
      <x:c r="H2" s="19" t="str">
        <x:v>Ativo</x:v>
      </x:c>
    </x:row>
    <x:row r="3">
      <x:c r="A3" s="19" t="str">
        <x:v>Revitalização do Complexo Administrativo - Aracaju</x:v>
      </x:c>
      <x:c r="B3" s="19" t="str">
        <x:v>SC-014/2026</x:v>
      </x:c>
      <x:c r="C3" s="19" t="str">
        <x:v>EletroNordeste Comercial</x:v>
      </x:c>
      <x:c r="D3" s="19" t="str">
        <x:v>Subcontrato de instalações elétricas</x:v>
      </x:c>
      <x:c r="E3" s="38" t="n">
        <x:v>46266</x:v>
      </x:c>
      <x:c r="F3" s="38" t="n">
        <x:v>46376</x:v>
      </x:c>
      <x:c r="G3" s="36" t="n">
        <x:v>385000</x:v>
      </x:c>
      <x:c r="H3" s="19" t="str">
        <x:v>Ativo</x:v>
      </x:c>
    </x:row>
    <x:row r="4">
      <x:c r="A4" s="19" t="str">
        <x:v>Pavimentação Rodoviária SE-100 - Trecho Demonstrativo</x:v>
      </x:c>
      <x:c r="B4" s="19" t="str">
        <x:v>CT-100/2026</x:v>
      </x:c>
      <x:c r="C4" s="19" t="str">
        <x:v>DER/Cliente Demonstrativo</x:v>
      </x:c>
      <x:c r="D4" s="19" t="str">
        <x:v>Contrato principal de pavimentação SE-100</x:v>
      </x:c>
      <x:c r="E4" s="38" t="n">
        <x:v>46188</x:v>
      </x:c>
      <x:c r="F4" s="38" t="n">
        <x:v>46568</x:v>
      </x:c>
      <x:c r="G4" s="36" t="n">
        <x:v>12800000</x:v>
      </x:c>
      <x:c r="H4" s="19" t="str">
        <x:v>Ativo</x:v>
      </x:c>
    </x:row>
    <x:row r="5">
      <x:c r="A5" s="19" t="str">
        <x:v>Pavimentação Rodoviária SE-100 - Trecho Demonstrativo</x:v>
      </x:c>
      <x:c r="B5" s="19" t="str">
        <x:v>SC-021/2026</x:v>
      </x:c>
      <x:c r="C5" s="19" t="str">
        <x:v>TopGeo Serviços Técnicos</x:v>
      </x:c>
      <x:c r="D5" s="19" t="str">
        <x:v>Topografia e apoio geométrico</x:v>
      </x:c>
      <x:c r="E5" s="38" t="n">
        <x:v>46188</x:v>
      </x:c>
      <x:c r="F5" s="38" t="n">
        <x:v>46538</x:v>
      </x:c>
      <x:c r="G5" s="36" t="n">
        <x:v>245000</x:v>
      </x:c>
      <x:c r="H5" s="19" t="str">
        <x:v>Ativo</x:v>
      </x:c>
    </x:row>
  </x:sheetData>
  <x:dataValidations count="1">
    <x:dataValidation type="list" sqref="H2:H500">
      <x:formula1>"Ativo,Suspenso,Encerrado"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42b12ded744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44" hidden="0" customWidth="1"/>
    <x:col min="6" max="6" width="14" hidden="0" customWidth="1"/>
  </x:cols>
  <x:sheetData>
    <x:row r="1">
      <x:c r="A1" s="31" t="str">
        <x:v>Nome</x:v>
      </x:c>
      <x:c r="B1" s="31" t="str">
        <x:v>Função</x:v>
      </x:c>
      <x:c r="C1" s="31" t="str">
        <x:v>Admissão</x:v>
      </x:c>
      <x:c r="D1" s="31" t="str">
        <x:v>Salário</x:v>
      </x:c>
      <x:c r="E1" s="31" t="str">
        <x:v>Obra alocada</x:v>
      </x:c>
      <x:c r="F1" s="31" t="str">
        <x:v>Status</x:v>
      </x:c>
    </x:row>
    <x:row r="2">
      <x:c r="A2" s="19" t="str">
        <x:v>Carlos Mendes</x:v>
      </x:c>
      <x:c r="B2" s="19" t="str">
        <x:v>Engenheiro Residente</x:v>
      </x:c>
      <x:c r="C2" s="38" t="n">
        <x:v>46193</x:v>
      </x:c>
      <x:c r="D2" s="36" t="n">
        <x:v>14500</x:v>
      </x:c>
      <x:c r="E2" s="19" t="str">
        <x:v>Revitalização do Complexo Administrativo - Aracaju</x:v>
      </x:c>
      <x:c r="F2" s="19" t="str">
        <x:v>Ativo</x:v>
      </x:c>
    </x:row>
    <x:row r="3">
      <x:c r="A3" s="19" t="str">
        <x:v>Ana Souza</x:v>
      </x:c>
      <x:c r="B3" s="19" t="str">
        <x:v>Engenheira Civil</x:v>
      </x:c>
      <x:c r="C3" s="38" t="n">
        <x:v>46204</x:v>
      </x:c>
      <x:c r="D3" s="36" t="n">
        <x:v>9800</x:v>
      </x:c>
      <x:c r="E3" s="19" t="str">
        <x:v>Revitalização do Complexo Administrativo - Aracaju</x:v>
      </x:c>
      <x:c r="F3" s="19" t="str">
        <x:v>Ativo</x:v>
      </x:c>
    </x:row>
    <x:row r="4">
      <x:c r="A4" s="19" t="str">
        <x:v>Paulo Reis</x:v>
      </x:c>
      <x:c r="B4" s="19" t="str">
        <x:v>Engenheiro Eletricista</x:v>
      </x:c>
      <x:c r="C4" s="38" t="n">
        <x:v>46254</x:v>
      </x:c>
      <x:c r="D4" s="36" t="n">
        <x:v>10500</x:v>
      </x:c>
      <x:c r="E4" s="19" t="str">
        <x:v>Revitalização do Complexo Administrativo - Aracaju</x:v>
      </x:c>
      <x:c r="F4" s="19" t="str">
        <x:v>Ativo</x:v>
      </x:c>
    </x:row>
    <x:row r="5">
      <x:c r="A5" s="19" t="str">
        <x:v>Marcos Lima</x:v>
      </x:c>
      <x:c r="B5" s="19" t="str">
        <x:v>Mestre de Obras</x:v>
      </x:c>
      <x:c r="C5" s="38" t="n">
        <x:v>46204</x:v>
      </x:c>
      <x:c r="D5" s="36" t="n">
        <x:v>6200</x:v>
      </x:c>
      <x:c r="E5" s="19" t="str">
        <x:v>Revitalização do Complexo Administrativo - Aracaju</x:v>
      </x:c>
      <x:c r="F5" s="19" t="str">
        <x:v>Ativo</x:v>
      </x:c>
    </x:row>
    <x:row r="6">
      <x:c r="A6" s="19" t="str">
        <x:v>Marina Alves</x:v>
      </x:c>
      <x:c r="B6" s="19" t="str">
        <x:v>Técnica de Segurança</x:v>
      </x:c>
      <x:c r="C6" s="38" t="n">
        <x:v>46204</x:v>
      </x:c>
      <x:c r="D6" s="36" t="n">
        <x:v>4800</x:v>
      </x:c>
      <x:c r="E6" s="19" t="str">
        <x:v>Revitalização do Complexo Administrativo - Aracaju</x:v>
      </x:c>
      <x:c r="F6" s="19" t="str">
        <x:v>Ativo</x:v>
      </x:c>
    </x:row>
    <x:row r="7">
      <x:c r="A7" s="19" t="str">
        <x:v>João Ferreira</x:v>
      </x:c>
      <x:c r="B7" s="19" t="str">
        <x:v>Engenheiro Residente</x:v>
      </x:c>
      <x:c r="C7" s="38" t="n">
        <x:v>46174</x:v>
      </x:c>
      <x:c r="D7" s="36" t="n">
        <x:v>15500</x:v>
      </x:c>
      <x:c r="E7" s="19" t="str">
        <x:v>Pavimentação Rodoviária SE-100 - Trecho Demonstrativo</x:v>
      </x:c>
      <x:c r="F7" s="19" t="str">
        <x:v>Ativo</x:v>
      </x:c>
    </x:row>
    <x:row r="8">
      <x:c r="A8" s="19" t="str">
        <x:v>Eduardo Costa</x:v>
      </x:c>
      <x:c r="B8" s="19" t="str">
        <x:v>Engenheiro Civil</x:v>
      </x:c>
      <x:c r="C8" s="38" t="n">
        <x:v>46188</x:v>
      </x:c>
      <x:c r="D8" s="36" t="n">
        <x:v>10200</x:v>
      </x:c>
      <x:c r="E8" s="19" t="str">
        <x:v>Pavimentação Rodoviária SE-100 - Trecho Demonstrativo</x:v>
      </x:c>
      <x:c r="F8" s="19" t="str">
        <x:v>Ativo</x:v>
      </x:c>
    </x:row>
    <x:row r="9">
      <x:c r="A9" s="19" t="str">
        <x:v>Sérgio Santos</x:v>
      </x:c>
      <x:c r="B9" s="19" t="str">
        <x:v>Encarregado Pavimentação</x:v>
      </x:c>
      <x:c r="C9" s="38" t="n">
        <x:v>46235</x:v>
      </x:c>
      <x:c r="D9" s="36" t="n">
        <x:v>6900</x:v>
      </x:c>
      <x:c r="E9" s="19" t="str">
        <x:v>Pavimentação Rodoviária SE-100 - Trecho Demonstrativo</x:v>
      </x:c>
      <x:c r="F9" s="19" t="str">
        <x:v>Ativo</x:v>
      </x:c>
    </x:row>
    <x:row r="10">
      <x:c r="A10" s="19" t="str">
        <x:v>Luciano Melo</x:v>
      </x:c>
      <x:c r="B10" s="19" t="str">
        <x:v>Encarregado Drenagem</x:v>
      </x:c>
      <x:c r="C10" s="38" t="n">
        <x:v>46193</x:v>
      </x:c>
      <x:c r="D10" s="36" t="n">
        <x:v>6500</x:v>
      </x:c>
      <x:c r="E10" s="19" t="str">
        <x:v>Pavimentação Rodoviária SE-100 - Trecho Demonstrativo</x:v>
      </x:c>
      <x:c r="F10" s="19" t="str">
        <x:v>Ativo</x:v>
      </x:c>
    </x:row>
    <x:row r="11">
      <x:c r="A11" s="19" t="str">
        <x:v>Bruno Dias</x:v>
      </x:c>
      <x:c r="B11" s="19" t="str">
        <x:v>Técnico de Segurança</x:v>
      </x:c>
      <x:c r="C11" s="38" t="n">
        <x:v>46188</x:v>
      </x:c>
      <x:c r="D11" s="36" t="n">
        <x:v>4900</x:v>
      </x:c>
      <x:c r="E11" s="19" t="str">
        <x:v>Pavimentação Rodoviária SE-100 - Trecho Demonstrativo</x:v>
      </x:c>
      <x:c r="F11" s="19" t="str">
        <x:v>Ativo</x:v>
      </x:c>
    </x:row>
  </x:sheetData>
  <x:dataValidations count="1">
    <x:dataValidation type="list" sqref="F2:F500">
      <x:formula1>"Ativo,Férias,Inativo"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5a03c09962416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28" hidden="0" customWidth="1"/>
    <x:col min="4" max="4" width="55" hidden="0" customWidth="1"/>
    <x:col min="5" max="5" width="24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31" t="str">
        <x:v>Obra</x:v>
      </x:c>
      <x:c r="B1" s="31" t="str">
        <x:v>Data</x:v>
      </x:c>
      <x:c r="C1" s="31" t="str">
        <x:v>Etapa ou serviço</x:v>
      </x:c>
      <x:c r="D1" s="31" t="str">
        <x:v>Não conformidade</x:v>
      </x:c>
      <x:c r="E1" s="31" t="str">
        <x:v>Responsável</x:v>
      </x:c>
      <x:c r="F1" s="31" t="str">
        <x:v>Prazo</x:v>
      </x:c>
      <x:c r="G1" s="31" t="str">
        <x:v>Severidade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46252</x:v>
      </x:c>
      <x:c r="C2" s="19" t="str">
        <x:v>Reforço estrutural</x:v>
      </x:c>
      <x:c r="D2" s="19" t="str">
        <x:v>Falha localizada de cobrimento em elemento recuperado</x:v>
      </x:c>
      <x:c r="E2" s="19" t="str">
        <x:v>Ana Souza</x:v>
      </x:c>
      <x:c r="F2" s="38" t="n">
        <x:v>46259</x:v>
      </x:c>
      <x:c r="G2" s="19" t="str">
        <x:v>Maior</x:v>
      </x:c>
      <x:c r="H2" s="19" t="str">
        <x:v>Resolvida</x:v>
      </x:c>
    </x:row>
    <x:row r="3">
      <x:c r="A3" s="19" t="str">
        <x:v>Revitalização do Complexo Administrativo - Aracaju</x:v>
      </x:c>
      <x:c r="B3" s="38" t="n">
        <x:v>46287</x:v>
      </x:c>
      <x:c r="C3" s="19" t="str">
        <x:v>Instalações elétricas</x:v>
      </x:c>
      <x:c r="D3" s="19" t="str">
        <x:v>Identificação incompleta de circuitos no quadro QD-03</x:v>
      </x:c>
      <x:c r="E3" s="19" t="str">
        <x:v>Paulo Reis</x:v>
      </x:c>
      <x:c r="F3" s="38" t="n">
        <x:v>46295</x:v>
      </x:c>
      <x:c r="G3" s="19" t="str">
        <x:v>Menor</x:v>
      </x:c>
      <x:c r="H3" s="19" t="str">
        <x:v>Em andamento</x:v>
      </x:c>
    </x:row>
    <x:row r="4">
      <x:c r="A4" s="19" t="str">
        <x:v>Pavimentação Rodoviária SE-100 - Trecho Demonstrativo</x:v>
      </x:c>
      <x:c r="B4" s="38" t="n">
        <x:v>46246</x:v>
      </x:c>
      <x:c r="C4" s="19" t="str">
        <x:v>Terraplenagem</x:v>
      </x:c>
      <x:c r="D4" s="19" t="str">
        <x:v>Trecho com grau de compactação abaixo da especificação</x:v>
      </x:c>
      <x:c r="E4" s="19" t="str">
        <x:v>Eduardo Costa</x:v>
      </x:c>
      <x:c r="F4" s="38" t="n">
        <x:v>46249</x:v>
      </x:c>
      <x:c r="G4" s="19" t="str">
        <x:v>Maior</x:v>
      </x:c>
      <x:c r="H4" s="19" t="str">
        <x:v>Resolvida</x:v>
      </x:c>
    </x:row>
    <x:row r="5">
      <x:c r="A5" s="19" t="str">
        <x:v>Pavimentação Rodoviária SE-100 - Trecho Demonstrativo</x:v>
      </x:c>
      <x:c r="B5" s="38" t="n">
        <x:v>46290</x:v>
      </x:c>
      <x:c r="C5" s="19" t="str">
        <x:v>Drenagem</x:v>
      </x:c>
      <x:c r="D5" s="19" t="str">
        <x:v>Cota de assentamento divergente em segmento de tubo</x:v>
      </x:c>
      <x:c r="E5" s="19" t="str">
        <x:v>Luciano Melo</x:v>
      </x:c>
      <x:c r="F5" s="38" t="n">
        <x:v>46298</x:v>
      </x:c>
      <x:c r="G5" s="19" t="str">
        <x:v>Maior</x:v>
      </x:c>
      <x:c r="H5" s="19" t="str">
        <x:v>Em andamento</x:v>
      </x:c>
    </x:row>
    <x:row r="6">
      <x:c r="A6" s="19" t="str">
        <x:v>Pavimentação Rodoviária SE-100 - Trecho Demonstrativo</x:v>
      </x:c>
      <x:c r="B6" s="38" t="n">
        <x:v>46296</x:v>
      </x:c>
      <x:c r="C6" s="19" t="str">
        <x:v>Sub-base</x:v>
      </x:c>
      <x:c r="D6" s="19" t="str">
        <x:v>Granulometria de amostra fora da faixa em lote isolado</x:v>
      </x:c>
      <x:c r="E6" s="19" t="str">
        <x:v>Eduardo Costa</x:v>
      </x:c>
      <x:c r="F6" s="38" t="n">
        <x:v>46301</x:v>
      </x:c>
      <x:c r="G6" s="19" t="str">
        <x:v>Crítica</x:v>
      </x:c>
      <x:c r="H6" s="19" t="str">
        <x:v>Aberta</x:v>
      </x:c>
    </x:row>
  </x:sheetData>
  <x:dataValidations count="2">
    <x:dataValidation type="list" sqref="G2:G500">
      <x:formula1>"Crítica,Maior,Menor"</x:formula1>
    </x:dataValidation>
    <x:dataValidation type="list" sqref="H2:H500">
      <x:formula1>"Aberta,Em andamento,Resolvida"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ee1eef3ade4cb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8" hidden="0" customWidth="1"/>
    <x:col min="4" max="4" width="55" hidden="0" customWidth="1"/>
    <x:col min="5" max="5" width="24" hidden="0" customWidth="1"/>
    <x:col min="6" max="6" width="20" hidden="0" customWidth="1"/>
  </x:cols>
  <x:sheetData>
    <x:row r="1">
      <x:c r="A1" s="31" t="str">
        <x:v>Obra</x:v>
      </x:c>
      <x:c r="B1" s="31" t="str">
        <x:v>Data</x:v>
      </x:c>
      <x:c r="C1" s="31" t="str">
        <x:v>Tipo</x:v>
      </x:c>
      <x:c r="D1" s="31" t="str">
        <x:v>Descrição</x:v>
      </x:c>
      <x:c r="E1" s="31" t="str">
        <x:v>Responsável</x:v>
      </x:c>
      <x:c r="F1" s="31" t="str">
        <x:v>Status</x:v>
      </x:c>
    </x:row>
    <x:row r="2">
      <x:c r="A2" s="19" t="str">
        <x:v>Revitalização do Complexo Administrativo - Aracaju</x:v>
      </x:c>
      <x:c r="B2" s="38" t="n">
        <x:v>46266</x:v>
      </x:c>
      <x:c r="C2" s="19" t="str">
        <x:v>DDS</x:v>
      </x:c>
      <x:c r="D2" s="19" t="str">
        <x:v>Trabalho em altura e inspeção de linhas de vida</x:v>
      </x:c>
      <x:c r="E2" s="19" t="str">
        <x:v>Marina Alves</x:v>
      </x:c>
      <x:c r="F2" s="19" t="str">
        <x:v>Concluído</x:v>
      </x:c>
    </x:row>
    <x:row r="3">
      <x:c r="A3" s="19" t="str">
        <x:v>Revitalização do Complexo Administrativo - Aracaju</x:v>
      </x:c>
      <x:c r="B3" s="38" t="n">
        <x:v>46283</x:v>
      </x:c>
      <x:c r="C3" s="19" t="str">
        <x:v>Inspeção</x:v>
      </x:c>
      <x:c r="D3" s="19" t="str">
        <x:v>Verificação de guarda-corpos e isolamento de áreas</x:v>
      </x:c>
      <x:c r="E3" s="19" t="str">
        <x:v>Marina Alves</x:v>
      </x:c>
      <x:c r="F3" s="19" t="str">
        <x:v>Concluído</x:v>
      </x:c>
    </x:row>
    <x:row r="4">
      <x:c r="A4" s="19" t="str">
        <x:v>Revitalização do Complexo Administrativo - Aracaju</x:v>
      </x:c>
      <x:c r="B4" s="38" t="n">
        <x:v>46297</x:v>
      </x:c>
      <x:c r="C4" s="19" t="str">
        <x:v>Treinamento</x:v>
      </x:c>
      <x:c r="D4" s="19" t="str">
        <x:v>Reciclagem NR-10 para equipe elétrica</x:v>
      </x:c>
      <x:c r="E4" s="19" t="str">
        <x:v>Paulo Reis</x:v>
      </x:c>
      <x:c r="F4" s="19" t="str">
        <x:v>Em acompanhamento</x:v>
      </x:c>
    </x:row>
    <x:row r="5">
      <x:c r="A5" s="19" t="str">
        <x:v>Pavimentação Rodoviária SE-100 - Trecho Demonstrativo</x:v>
      </x:c>
      <x:c r="B5" s="38" t="n">
        <x:v>46237</x:v>
      </x:c>
      <x:c r="C5" s="19" t="str">
        <x:v>DDS</x:v>
      </x:c>
      <x:c r="D5" s="19" t="str">
        <x:v>Operação segura de máquinas pesadas</x:v>
      </x:c>
      <x:c r="E5" s="19" t="str">
        <x:v>Bruno Dias</x:v>
      </x:c>
      <x:c r="F5" s="19" t="str">
        <x:v>Concluído</x:v>
      </x:c>
    </x:row>
    <x:row r="6">
      <x:c r="A6" s="19" t="str">
        <x:v>Pavimentação Rodoviária SE-100 - Trecho Demonstrativo</x:v>
      </x:c>
      <x:c r="B6" s="38" t="n">
        <x:v>46277</x:v>
      </x:c>
      <x:c r="C6" s="19" t="str">
        <x:v>Inspeção</x:v>
      </x:c>
      <x:c r="D6" s="19" t="str">
        <x:v>Sinalização temporária e desvios de tráfego</x:v>
      </x:c>
      <x:c r="E6" s="19" t="str">
        <x:v>Bruno Dias</x:v>
      </x:c>
      <x:c r="F6" s="19" t="str">
        <x:v>Concluído</x:v>
      </x:c>
    </x:row>
    <x:row r="7">
      <x:c r="A7" s="19" t="str">
        <x:v>Pavimentação Rodoviária SE-100 - Trecho Demonstrativo</x:v>
      </x:c>
      <x:c r="B7" s="38" t="n">
        <x:v>46296</x:v>
      </x:c>
      <x:c r="C7" s="19" t="str">
        <x:v>Incidente</x:v>
      </x:c>
      <x:c r="D7" s="19" t="str">
        <x:v>Quase-acidente sem lesão na área de descarga</x:v>
      </x:c>
      <x:c r="E7" s="19" t="str">
        <x:v>Bruno Dias</x:v>
      </x:c>
      <x:c r="F7" s="19" t="str">
        <x:v>Em acompanhamento</x:v>
      </x:c>
    </x:row>
  </x:sheetData>
  <x:dataValidations count="2">
    <x:dataValidation type="list" sqref="C2:C500">
      <x:formula1>"DDS,Inspeção,Incidente,Treinamento"</x:formula1>
    </x:dataValidation>
    <x:dataValidation type="list" sqref="F2:F500">
      <x:formula1>"Aberto,Em acompanhamento,Concluído"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b4e16649c640e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18" hidden="0" customWidth="1"/>
    <x:col min="8" max="8" width="34" hidden="0" customWidth="1"/>
    <x:col min="9" max="9" width="45" hidden="0" customWidth="1"/>
  </x:cols>
  <x:sheetData>
    <x:row r="1">
      <x:c r="A1" s="31" t="str">
        <x:v>Obra</x:v>
      </x:c>
      <x:c r="B1" s="31" t="str">
        <x:v>Nome do documento</x:v>
      </x:c>
      <x:c r="C1" s="31" t="str">
        <x:v>Categoria</x:v>
      </x:c>
      <x:c r="D1" s="31" t="str">
        <x:v>Data</x:v>
      </x:c>
      <x:c r="E1" s="31" t="str">
        <x:v>Vencimento</x:v>
      </x:c>
      <x:c r="F1" s="31" t="str">
        <x:v>Revisão</x:v>
      </x:c>
      <x:c r="G1" s="31" t="str">
        <x:v>Status</x:v>
      </x:c>
      <x:c r="H1" s="31" t="str">
        <x:v>Link HTTPS</x:v>
      </x:c>
      <x:c r="I1" s="31" t="str">
        <x:v>Observações</x:v>
      </x:c>
    </x:row>
    <x:row r="2">
      <x:c r="A2" s="19" t="str">
        <x:v>Revitalização do Complexo Administrativo - Aracaju</x:v>
      </x:c>
      <x:c r="B2" s="19" t="str">
        <x:v>ART - Responsabilidade Técnica</x:v>
      </x:c>
      <x:c r="C2" s="19" t="str">
        <x:v>Legal</x:v>
      </x:c>
      <x:c r="D2" s="38" t="n">
        <x:v>46204</x:v>
      </x:c>
      <x:c r="E2" s="38" t="n">
        <x:v>46477</x:v>
      </x:c>
      <x:c r="F2" s="19" t="str">
        <x:v>R0</x:v>
      </x:c>
      <x:c r="G2" s="19" t="str">
        <x:v>Aprovado</x:v>
      </x:c>
      <x:c r="H2" s="19" t="str">
        <x:v>https://exemplo.com/art-obra1</x:v>
      </x:c>
      <x:c r="I2" s="19" t="str">
        <x:v>Documento fictício de exemplo.</x:v>
      </x:c>
    </x:row>
    <x:row r="3">
      <x:c r="A3" s="19" t="str">
        <x:v>Revitalização do Complexo Administrativo - Aracaju</x:v>
      </x:c>
      <x:c r="B3" s="19" t="str">
        <x:v>Plano de Gerenciamento de Riscos</x:v>
      </x:c>
      <x:c r="C3" s="19" t="str">
        <x:v>Segurança</x:v>
      </x:c>
      <x:c r="D3" s="38" t="n">
        <x:v>46204</x:v>
      </x:c>
      <x:c r="E3" s="38" t="n">
        <x:v>46477</x:v>
      </x:c>
      <x:c r="F3" s="19" t="str">
        <x:v>R1</x:v>
      </x:c>
      <x:c r="G3" s="19" t="str">
        <x:v>Aprovado</x:v>
      </x:c>
      <x:c r="H3" s="19" t="str">
        <x:v>https://exemplo.com/pgr-obra1</x:v>
      </x:c>
      <x:c r="I3" s="19" t="str">
        <x:v>Revisão após mobilização.</x:v>
      </x:c>
    </x:row>
    <x:row r="4">
      <x:c r="A4" s="19" t="str">
        <x:v>Revitalização do Complexo Administrativo - Aracaju</x:v>
      </x:c>
      <x:c r="B4" s="19" t="str">
        <x:v>Projeto Elétrico Executivo</x:v>
      </x:c>
      <x:c r="C4" s="19" t="str">
        <x:v>Projeto</x:v>
      </x:c>
      <x:c r="D4" s="38" t="n">
        <x:v>46249</x:v>
      </x:c>
      <x:c r="E4" s="38"/>
      <x:c r="F4" s="19" t="str">
        <x:v>R2</x:v>
      </x:c>
      <x:c r="G4" s="19" t="str">
        <x:v>Aprovado</x:v>
      </x:c>
      <x:c r="H4" s="19" t="str">
        <x:v>https://exemplo.com/projeto-eletrico</x:v>
      </x:c>
      <x:c r="I4" s="19" t="str">
        <x:v>Exemplo.</x:v>
      </x:c>
    </x:row>
    <x:row r="5">
      <x:c r="A5" s="19" t="str">
        <x:v>Pavimentação Rodoviária SE-100 - Trecho Demonstrativo</x:v>
      </x:c>
      <x:c r="B5" s="19" t="str">
        <x:v>ART - Responsabilidade Técnica</x:v>
      </x:c>
      <x:c r="C5" s="19" t="str">
        <x:v>Legal</x:v>
      </x:c>
      <x:c r="D5" s="38" t="n">
        <x:v>46188</x:v>
      </x:c>
      <x:c r="E5" s="38" t="n">
        <x:v>46568</x:v>
      </x:c>
      <x:c r="F5" s="19" t="str">
        <x:v>R0</x:v>
      </x:c>
      <x:c r="G5" s="19" t="str">
        <x:v>Aprovado</x:v>
      </x:c>
      <x:c r="H5" s="19" t="str">
        <x:v>https://exemplo.com/art-obra2</x:v>
      </x:c>
      <x:c r="I5" s="19" t="str">
        <x:v>Documento fictício de exemplo.</x:v>
      </x:c>
    </x:row>
    <x:row r="6">
      <x:c r="A6" s="19" t="str">
        <x:v>Pavimentação Rodoviária SE-100 - Trecho Demonstrativo</x:v>
      </x:c>
      <x:c r="B6" s="19" t="str">
        <x:v>Projeto Geométrico</x:v>
      </x:c>
      <x:c r="C6" s="19" t="str">
        <x:v>Projeto</x:v>
      </x:c>
      <x:c r="D6" s="38" t="n">
        <x:v>46183</x:v>
      </x:c>
      <x:c r="E6" s="38"/>
      <x:c r="F6" s="19" t="str">
        <x:v>R3</x:v>
      </x:c>
      <x:c r="G6" s="19" t="str">
        <x:v>Aprovado</x:v>
      </x:c>
      <x:c r="H6" s="19" t="str">
        <x:v>https://exemplo.com/geometrico</x:v>
      </x:c>
      <x:c r="I6" s="19" t="str">
        <x:v>Exemplo.</x:v>
      </x:c>
    </x:row>
    <x:row r="7">
      <x:c r="A7" s="19" t="str">
        <x:v>Pavimentação Rodoviária SE-100 - Trecho Demonstrativo</x:v>
      </x:c>
      <x:c r="B7" s="19" t="str">
        <x:v>Plano de Sinalização Temporária</x:v>
      </x:c>
      <x:c r="C7" s="19" t="str">
        <x:v>Segurança</x:v>
      </x:c>
      <x:c r="D7" s="38" t="n">
        <x:v>46193</x:v>
      </x:c>
      <x:c r="E7" s="38" t="n">
        <x:v>46568</x:v>
      </x:c>
      <x:c r="F7" s="19" t="str">
        <x:v>R1</x:v>
      </x:c>
      <x:c r="G7" s="19" t="str">
        <x:v>Em aprovação</x:v>
      </x:c>
      <x:c r="H7" s="19" t="str">
        <x:v>https://exemplo.com/sinalizacao</x:v>
      </x:c>
      <x:c r="I7" s="19" t="str">
        <x:v>Exemplo.</x:v>
      </x:c>
    </x:row>
  </x:sheetData>
  <x:dataValidations count="1">
    <x:dataValidation type="list" sqref="G2:G500">
      <x:formula1>"Rascunho,Em aprovação,Aprovado,Vencido"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cdfbe15a4140d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20" hidden="0" customWidth="1"/>
    <x:col min="5" max="5" width="20" hidden="0" customWidth="1"/>
    <x:col min="6" max="6" width="55" hidden="0" customWidth="1"/>
  </x:cols>
  <x:sheetData>
    <x:row r="1">
      <x:c r="A1" s="31" t="str">
        <x:v>Data/Hora</x:v>
      </x:c>
      <x:c r="B1" s="31" t="str">
        <x:v>Usuário</x:v>
      </x:c>
      <x:c r="C1" s="31" t="str">
        <x:v>Ação</x:v>
      </x:c>
      <x:c r="D1" s="31" t="str">
        <x:v>Módulo</x:v>
      </x:c>
      <x:c r="E1" s="31" t="str">
        <x:v>Registro</x:v>
      </x:c>
      <x:c r="F1" s="31" t="str">
        <x:v>Detalhes</x:v>
      </x:c>
    </x:row>
    <x:row r="2">
      <x:c r="A2" s="38" t="n">
        <x:v>46266.34027777778</x:v>
      </x:c>
      <x:c r="B2" s="19" t="str">
        <x:v>administrador@exemplo.com</x:v>
      </x:c>
      <x:c r="C2" s="19" t="str">
        <x:v>create</x:v>
      </x:c>
      <x:c r="D2" s="19" t="str">
        <x:v>Obras</x:v>
      </x:c>
      <x:c r="E2" s="19" t="str">
        <x:v>OBRA-01</x:v>
      </x:c>
      <x:c r="F2" s="19" t="str">
        <x:v>Cadastro da obra exemplo 01</x:v>
      </x:c>
    </x:row>
    <x:row r="3">
      <x:c r="A3" s="38" t="n">
        <x:v>46266.34375</x:v>
      </x:c>
      <x:c r="B3" s="19" t="str">
        <x:v>administrador@exemplo.com</x:v>
      </x:c>
      <x:c r="C3" s="19" t="str">
        <x:v>create</x:v>
      </x:c>
      <x:c r="D3" s="19" t="str">
        <x:v>Obras</x:v>
      </x:c>
      <x:c r="E3" s="19" t="str">
        <x:v>OBRA-02</x:v>
      </x:c>
      <x:c r="F3" s="19" t="str">
        <x:v>Cadastro da obra exemplo 02</x:v>
      </x:c>
    </x:row>
    <x:row r="4">
      <x:c r="A4" s="38" t="n">
        <x:v>46266.34722222222</x:v>
      </x:c>
      <x:c r="B4" s="19" t="str">
        <x:v>administrador@exemplo.com</x:v>
      </x:c>
      <x:c r="C4" s="19" t="str">
        <x:v>invite</x:v>
      </x:c>
      <x:c r="D4" s="19" t="str">
        <x:v>Equipe</x:v>
      </x:c>
      <x:c r="E4" s="19" t="str">
        <x:v>USR-01</x:v>
      </x:c>
      <x:c r="F4" s="19" t="str">
        <x:v>Convite para engenheiro obra 01</x:v>
      </x:c>
    </x:row>
    <x:row r="5">
      <x:c r="A5" s="38" t="n">
        <x:v>46266.350694444445</x:v>
      </x:c>
      <x:c r="B5" s="19" t="str">
        <x:v>administrador@exemplo.com</x:v>
      </x:c>
      <x:c r="C5" s="19" t="str">
        <x:v>invite</x:v>
      </x:c>
      <x:c r="D5" s="19" t="str">
        <x:v>Equipe</x:v>
      </x:c>
      <x:c r="E5" s="19" t="str">
        <x:v>USR-02</x:v>
      </x:c>
      <x:c r="F5" s="19" t="str">
        <x:v>Convite para engenheiro obra 02</x:v>
      </x:c>
    </x:row>
    <x:row r="6">
      <x:c r="A6" s="38" t="n">
        <x:v>46267.375</x:v>
      </x:c>
      <x:c r="B6" s="19" t="str">
        <x:v>engenheiro.obra01@exemplo.com</x:v>
      </x:c>
      <x:c r="C6" s="19" t="str">
        <x:v>create</x:v>
      </x:c>
      <x:c r="D6" s="19" t="str">
        <x:v>Cronograma</x:v>
      </x:c>
      <x:c r="E6" s="19" t="str">
        <x:v>ATV-01</x:v>
      </x:c>
      <x:c r="F6" s="19" t="str">
        <x:v>Inclusão de atividade na obra 01</x:v>
      </x:c>
    </x:row>
    <x:row r="7">
      <x:c r="A7" s="38" t="n">
        <x:v>46267.395833333336</x:v>
      </x:c>
      <x:c r="B7" s="19" t="str">
        <x:v>engenheiro.obra02@exemplo.com</x:v>
      </x:c>
      <x:c r="C7" s="19" t="str">
        <x:v>update</x:v>
      </x:c>
      <x:c r="D7" s="19" t="str">
        <x:v>Equipamentos</x:v>
      </x:c>
      <x:c r="E7" s="19" t="str">
        <x:v>EQ-102</x:v>
      </x:c>
      <x:c r="F7" s="19" t="str">
        <x:v>Atualização de horímetro</x:v>
      </x:c>
    </x:row>
  </x:sheetData>
  <x:pageMargins left="0.7" right="0.7" top="0.75" bottom="0.75" header="0.3" footer="0.3"/>
  <x:tableParts count="1">
    <x:tablePart xmlns:r="http://schemas.openxmlformats.org/officeDocument/2006/relationships" r:id="R8fcf2fe8c2f442f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52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5" t="str">
        <x:v>ObraTop - Painel Resumo da Base-Exemplo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1" t="str">
        <x:v>Indicador</x:v>
      </x:c>
      <x:c r="B4" s="31" t="str">
        <x:v>Valor</x:v>
      </x:c>
      <x:c r="D4" s="31" t="str">
        <x:v>Obra</x:v>
      </x:c>
      <x:c r="E4" s="31" t="str">
        <x:v>Contratado</x:v>
      </x:c>
      <x:c r="F4" s="31" t="str">
        <x:v>Medições</x:v>
      </x:c>
      <x:c r="G4" s="31" t="str">
        <x:v>Progresso (%)</x:v>
      </x:c>
    </x:row>
    <x:row r="5">
      <x:c r="A5" s="13" t="str">
        <x:v>Obras cadastradas</x:v>
      </x:c>
      <x:c r="B5" t="n">
        <x:f>COUNTA(OBRAS!A2:A100)</x:f>
        <x:v>2</x:v>
      </x:c>
      <x:c r="D5" t="str">
        <x:v>Revitalização do Complexo Administrativo - Aracaju</x:v>
      </x:c>
      <x:c r="E5" s="42" t="n">
        <x:v>4850000</x:v>
      </x:c>
      <x:c r="F5" s="42" t="n">
        <x:v>1480000</x:v>
      </x:c>
      <x:c r="G5" s="44" t="n">
        <x:v>28</x:v>
      </x:c>
    </x:row>
    <x:row r="6">
      <x:c r="A6" s="13" t="str">
        <x:v>Valor contratado</x:v>
      </x:c>
      <x:c r="B6" s="42" t="n">
        <x:f>SUM(OBRAS!F2:F100)</x:f>
        <x:v>17650000</x:v>
      </x:c>
      <x:c r="D6" t="str">
        <x:v>Pavimentação Rodoviária SE-100 - Trecho Demonstrativo</x:v>
      </x:c>
      <x:c r="E6" s="42" t="n">
        <x:v>12800000</x:v>
      </x:c>
      <x:c r="F6" s="42" t="n">
        <x:v>2880000</x:v>
      </x:c>
      <x:c r="G6" s="44" t="n">
        <x:v>22</x:v>
      </x:c>
    </x:row>
    <x:row r="7">
      <x:c r="A7" s="13" t="str">
        <x:v>Orçamento com BDI</x:v>
      </x:c>
      <x:c r="B7" s="42" t="n">
        <x:f>SUM(ORCAMENTO!H2:H500)</x:f>
        <x:v>17807325</x:v>
      </x:c>
      <x:c r="D7" t="str">
        <x:v>TOTAL</x:v>
      </x:c>
      <x:c r="E7" s="42" t="n">
        <x:f>SUM(E5:E6)</x:f>
        <x:v>17650000</x:v>
      </x:c>
      <x:c r="F7" s="42" t="n">
        <x:f>SUM(F5:F6)</x:f>
        <x:v>4360000</x:v>
      </x:c>
      <x:c r="G7" s="44" t="n">
        <x:f>AVERAGE(G5:G6)</x:f>
        <x:v>25</x:v>
      </x:c>
    </x:row>
    <x:row r="8">
      <x:c r="A8" s="13" t="str">
        <x:v>Valor medido</x:v>
      </x:c>
      <x:c r="B8" s="42" t="n">
        <x:f>SUM(MEDICOES!F2:F500)</x:f>
        <x:v>4360000</x:v>
      </x:c>
    </x:row>
    <x:row r="9">
      <x:c r="A9" s="13" t="str">
        <x:v>Receitas lançadas</x:v>
      </x:c>
      <x:c r="B9" s="42" t="n">
        <x:f>SUMIF(FINANCEIRO!E2:E500,"Receita",FINANCEIRO!G2:G500)</x:f>
        <x:v>3385000</x:v>
      </x:c>
    </x:row>
    <x:row r="10">
      <x:c r="A10" s="13" t="str">
        <x:v>Despesas lançadas</x:v>
      </x:c>
      <x:c r="B10" s="42" t="n">
        <x:f>SUMIF(FINANCEIRO!E2:E500,"Despesa",FINANCEIRO!G2:G500)</x:f>
        <x:v>1545000</x:v>
      </x:c>
    </x:row>
  </x:sheetData>
  <x:mergeCells>
    <x:mergeCell ref="A1:H2"/>
  </x:mergeCells>
  <x:conditionalFormatting sqref="G5:G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04171d73cee41c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156082"/>
            </x14:dataBar>
          </x14:cfRule>
          <xm:sqref>G5:G6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30" hidden="0" customWidth="1"/>
    <x:col min="4" max="4" width="2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</x:cols>
  <x:sheetData>
    <x:row r="1">
      <x:c r="A1" s="52" t="str">
        <x:v>Obra</x:v>
      </x:c>
      <x:c r="B1" s="52" t="str">
        <x:v>Data de referência</x:v>
      </x:c>
      <x:c r="C1" s="52" t="str">
        <x:v>Material / insumo</x:v>
      </x:c>
      <x:c r="D1" s="52" t="str">
        <x:v>Categoria</x:v>
      </x:c>
      <x:c r="E1" s="52" t="str">
        <x:v>Unidade</x:v>
      </x:c>
      <x:c r="F1" s="52" t="str">
        <x:v>Estoque atual</x:v>
      </x:c>
      <x:c r="G1" s="52" t="str">
        <x:v>Estoque mínimo</x:v>
      </x:c>
      <x:c r="H1" s="52" t="str">
        <x:v>Estoque máximo</x:v>
      </x:c>
      <x:c r="I1" s="52" t="str">
        <x:v>Estoque de segurança</x:v>
      </x:c>
      <x:c r="J1" s="52" t="str">
        <x:v>Consumo médio diário</x:v>
      </x:c>
      <x:c r="K1" s="52" t="str">
        <x:v>Prazo de reposição (dias)</x:v>
      </x:c>
      <x:c r="L1" s="52" t="str">
        <x:v>Ponto de pedido manual</x:v>
      </x:c>
      <x:c r="M1" s="52" t="str">
        <x:v>Estoque de antecipação</x:v>
      </x:c>
      <x:c r="N1" s="52" t="str">
        <x:v>Valor unitário</x:v>
      </x:c>
      <x:c r="O1" s="52" t="str">
        <x:v>Ponto de pedido efetivo</x:v>
      </x:c>
      <x:c r="P1" s="52" t="str">
        <x:v>Estoque médio</x:v>
      </x:c>
      <x:c r="Q1" s="52" t="str">
        <x:v>Valor em estoque</x:v>
      </x:c>
      <x:c r="R1" s="52" t="str">
        <x:v>Semáforo</x:v>
      </x:c>
    </x:row>
    <x:row r="2">
      <x:c r="A2" s="19" t="str">
        <x:v>Revitalização do Complexo Administrativo - Aracaju</x:v>
      </x:c>
      <x:c r="B2" s="38" t="n">
        <x:v>46278</x:v>
      </x:c>
      <x:c r="C2" s="19" t="str">
        <x:v>Cimento CP II 50 kg</x:v>
      </x:c>
      <x:c r="D2" s="19" t="str">
        <x:v>Cimento</x:v>
      </x:c>
      <x:c r="E2" s="19" t="str">
        <x:v>sc</x:v>
      </x:c>
      <x:c r="F2" s="19" t="n">
        <x:v>180</x:v>
      </x:c>
      <x:c r="G2" s="19" t="n">
        <x:v>120</x:v>
      </x:c>
      <x:c r="H2" s="19" t="n">
        <x:v>400</x:v>
      </x:c>
      <x:c r="I2" s="19" t="n">
        <x:v>60</x:v>
      </x:c>
      <x:c r="J2" s="19" t="n">
        <x:v>18</x:v>
      </x:c>
      <x:c r="K2" s="19" t="n">
        <x:v>5</x:v>
      </x:c>
      <x:c r="L2" s="19" t="n">
        <x:v>0</x:v>
      </x:c>
      <x:c r="M2" s="19" t="n">
        <x:v>0</x:v>
      </x:c>
      <x:c r="N2" s="36" t="n">
        <x:v>38.9</x:v>
      </x:c>
      <x:c r="O2" s="19" t="n">
        <x:f>IF(L2&gt;0,L2,J2*K2+I2)</x:f>
        <x:v>150</x:v>
      </x:c>
      <x:c r="P2" s="19" t="n">
        <x:f>(G2+H2)/2</x:f>
        <x:v>260</x:v>
      </x:c>
      <x:c r="Q2" s="36" t="n">
        <x:f>F2*N2</x:f>
        <x:v>7002</x:v>
      </x:c>
      <x:c r="R2" s="19" t="str">
        <x:f>IF(F2&gt;H2,"EXCESSO",IF(OR(F2&lt;=I2,F2&lt;G2),"CRÍTICO",IF(F2&lt;=O2,"COMPRAR","NORMAL")))</x:f>
        <x:v>NORMAL</x:v>
      </x:c>
    </x:row>
    <x:row r="3">
      <x:c r="A3" s="19" t="str">
        <x:v>Revitalização do Complexo Administrativo - Aracaju</x:v>
      </x:c>
      <x:c r="B3" s="38" t="n">
        <x:v>46278</x:v>
      </x:c>
      <x:c r="C3" s="19" t="str">
        <x:v>Tinta emborrachada 18 L</x:v>
      </x:c>
      <x:c r="D3" s="19" t="str">
        <x:v>Pintura</x:v>
      </x:c>
      <x:c r="E3" s="19" t="str">
        <x:v>lata</x:v>
      </x:c>
      <x:c r="F3" s="19" t="n">
        <x:v>42</x:v>
      </x:c>
      <x:c r="G3" s="19" t="n">
        <x:v>35</x:v>
      </x:c>
      <x:c r="H3" s="19" t="n">
        <x:v>90</x:v>
      </x:c>
      <x:c r="I3" s="19" t="n">
        <x:v>15</x:v>
      </x:c>
      <x:c r="J3" s="19" t="n">
        <x:v>4</x:v>
      </x:c>
      <x:c r="K3" s="19" t="n">
        <x:v>7</x:v>
      </x:c>
      <x:c r="L3" s="19" t="n">
        <x:v>0</x:v>
      </x:c>
      <x:c r="M3" s="19" t="n">
        <x:v>20</x:v>
      </x:c>
      <x:c r="N3" s="36" t="n">
        <x:v>485</x:v>
      </x:c>
      <x:c r="O3" s="19" t="n">
        <x:f>IF(L3&gt;0,L3,J3*K3+I3)</x:f>
        <x:v>43</x:v>
      </x:c>
      <x:c r="P3" s="19" t="n">
        <x:f>(G3+H3)/2</x:f>
        <x:v>62.5</x:v>
      </x:c>
      <x:c r="Q3" s="36" t="n">
        <x:f>F3*N3</x:f>
        <x:v>20370</x:v>
      </x:c>
      <x:c r="R3" s="19" t="str">
        <x:f>IF(F3&gt;H3,"EXCESSO",IF(OR(F3&lt;=I3,F3&lt;G3),"CRÍTICO",IF(F3&lt;=O3,"COMPRAR","NORMAL")))</x:f>
        <x:v>COMPRAR</x:v>
      </x:c>
    </x:row>
    <x:row r="4">
      <x:c r="A4" s="19" t="str">
        <x:v>Revitalização do Complexo Administrativo - Aracaju</x:v>
      </x:c>
      <x:c r="B4" s="38" t="n">
        <x:v>46278</x:v>
      </x:c>
      <x:c r="C4" s="19" t="str">
        <x:v>Selador acrílico 18 L</x:v>
      </x:c>
      <x:c r="D4" s="19" t="str">
        <x:v>Pintura</x:v>
      </x:c>
      <x:c r="E4" s="19" t="str">
        <x:v>lata</x:v>
      </x:c>
      <x:c r="F4" s="19" t="n">
        <x:v>18</x:v>
      </x:c>
      <x:c r="G4" s="19" t="n">
        <x:v>20</x:v>
      </x:c>
      <x:c r="H4" s="19" t="n">
        <x:v>60</x:v>
      </x:c>
      <x:c r="I4" s="19" t="n">
        <x:v>8</x:v>
      </x:c>
      <x:c r="J4" s="19" t="n">
        <x:v>2</x:v>
      </x:c>
      <x:c r="K4" s="19" t="n">
        <x:v>5</x:v>
      </x:c>
      <x:c r="L4" s="19" t="n">
        <x:v>0</x:v>
      </x:c>
      <x:c r="M4" s="19" t="n">
        <x:v>0</x:v>
      </x:c>
      <x:c r="N4" s="36" t="n">
        <x:v>190</x:v>
      </x:c>
      <x:c r="O4" s="19" t="n">
        <x:f>IF(L4&gt;0,L4,J4*K4+I4)</x:f>
        <x:v>18</x:v>
      </x:c>
      <x:c r="P4" s="19" t="n">
        <x:f>(G4+H4)/2</x:f>
        <x:v>40</x:v>
      </x:c>
      <x:c r="Q4" s="36" t="n">
        <x:f>F4*N4</x:f>
        <x:v>3420</x:v>
      </x:c>
      <x:c r="R4" s="19" t="str">
        <x:f>IF(F4&gt;H4,"EXCESSO",IF(OR(F4&lt;=I4,F4&lt;G4),"CRÍTICO",IF(F4&lt;=O4,"COMPRAR","NORMAL")))</x:f>
        <x:v>CRÍTICO</x:v>
      </x:c>
    </x:row>
    <x:row r="5">
      <x:c r="A5" s="19" t="str">
        <x:v>Revitalização do Complexo Administrativo - Aracaju</x:v>
      </x:c>
      <x:c r="B5" s="38" t="n">
        <x:v>46278</x:v>
      </x:c>
      <x:c r="C5" s="19" t="str">
        <x:v>Manta líquida 18 kg</x:v>
      </x:c>
      <x:c r="D5" s="19" t="str">
        <x:v>Impermeabilização</x:v>
      </x:c>
      <x:c r="E5" s="19" t="str">
        <x:v>balde</x:v>
      </x:c>
      <x:c r="F5" s="19" t="n">
        <x:v>25</x:v>
      </x:c>
      <x:c r="G5" s="19" t="n">
        <x:v>18</x:v>
      </x:c>
      <x:c r="H5" s="19" t="n">
        <x:v>55</x:v>
      </x:c>
      <x:c r="I5" s="19" t="n">
        <x:v>8</x:v>
      </x:c>
      <x:c r="J5" s="19" t="n">
        <x:v>2.5</x:v>
      </x:c>
      <x:c r="K5" s="19" t="n">
        <x:v>6</x:v>
      </x:c>
      <x:c r="L5" s="19" t="n">
        <x:v>0</x:v>
      </x:c>
      <x:c r="M5" s="19" t="n">
        <x:v>10</x:v>
      </x:c>
      <x:c r="N5" s="36" t="n">
        <x:v>410</x:v>
      </x:c>
      <x:c r="O5" s="19" t="n">
        <x:f>IF(L5&gt;0,L5,J5*K5+I5)</x:f>
        <x:v>23</x:v>
      </x:c>
      <x:c r="P5" s="19" t="n">
        <x:f>(G5+H5)/2</x:f>
        <x:v>36.5</x:v>
      </x:c>
      <x:c r="Q5" s="36" t="n">
        <x:f>F5*N5</x:f>
        <x:v>10250</x:v>
      </x:c>
      <x:c r="R5" s="19" t="str">
        <x:f>IF(F5&gt;H5,"EXCESSO",IF(OR(F5&lt;=I5,F5&lt;G5),"CRÍTICO",IF(F5&lt;=O5,"COMPRAR","NORMAL")))</x:f>
        <x:v>NORMAL</x:v>
      </x:c>
    </x:row>
    <x:row r="6">
      <x:c r="A6" s="19" t="str">
        <x:v>Revitalização do Complexo Administrativo - Aracaju</x:v>
      </x:c>
      <x:c r="B6" s="38" t="n">
        <x:v>46278</x:v>
      </x:c>
      <x:c r="C6" s="19" t="str">
        <x:v>Telha fibrocimento 8 mm</x:v>
      </x:c>
      <x:c r="D6" s="19" t="str">
        <x:v>Cobertura</x:v>
      </x:c>
      <x:c r="E6" s="19" t="str">
        <x:v>un</x:v>
      </x:c>
      <x:c r="F6" s="19" t="n">
        <x:v>95</x:v>
      </x:c>
      <x:c r="G6" s="19" t="n">
        <x:v>40</x:v>
      </x:c>
      <x:c r="H6" s="19" t="n">
        <x:v>80</x:v>
      </x:c>
      <x:c r="I6" s="19" t="n">
        <x:v>20</x:v>
      </x:c>
      <x:c r="J6" s="19" t="n">
        <x:v>3</x:v>
      </x:c>
      <x:c r="K6" s="19" t="n">
        <x:v>10</x:v>
      </x:c>
      <x:c r="L6" s="19" t="n">
        <x:v>0</x:v>
      </x:c>
      <x:c r="M6" s="19" t="n">
        <x:v>30</x:v>
      </x:c>
      <x:c r="N6" s="36" t="n">
        <x:v>115</x:v>
      </x:c>
      <x:c r="O6" s="19" t="n">
        <x:f>IF(L6&gt;0,L6,J6*K6+I6)</x:f>
        <x:v>50</x:v>
      </x:c>
      <x:c r="P6" s="19" t="n">
        <x:f>(G6+H6)/2</x:f>
        <x:v>60</x:v>
      </x:c>
      <x:c r="Q6" s="36" t="n">
        <x:f>F6*N6</x:f>
        <x:v>10925</x:v>
      </x:c>
      <x:c r="R6" s="19" t="str">
        <x:f>IF(F6&gt;H6,"EXCESSO",IF(OR(F6&lt;=I6,F6&lt;G6),"CRÍTICO",IF(F6&lt;=O6,"COMPRAR","NORMAL")))</x:f>
        <x:v>EXCESSO</x:v>
      </x:c>
    </x:row>
    <x:row r="7">
      <x:c r="A7" s="19" t="str">
        <x:v>Pavimentação Rodoviária SE-100 - Trecho Demonstrativo</x:v>
      </x:c>
      <x:c r="B7" s="38" t="n">
        <x:v>46278</x:v>
      </x:c>
      <x:c r="C7" s="19" t="str">
        <x:v>Brita graduada simples</x:v>
      </x:c>
      <x:c r="D7" s="19" t="str">
        <x:v>Pavimentação</x:v>
      </x:c>
      <x:c r="E7" s="19" t="str">
        <x:v>m³</x:v>
      </x:c>
      <x:c r="F7" s="19" t="n">
        <x:v>680</x:v>
      </x:c>
      <x:c r="G7" s="19" t="n">
        <x:v>500</x:v>
      </x:c>
      <x:c r="H7" s="19" t="n">
        <x:v>1800</x:v>
      </x:c>
      <x:c r="I7" s="19" t="n">
        <x:v>250</x:v>
      </x:c>
      <x:c r="J7" s="19" t="n">
        <x:v>85</x:v>
      </x:c>
      <x:c r="K7" s="19" t="n">
        <x:v>4</x:v>
      </x:c>
      <x:c r="L7" s="19" t="n">
        <x:v>0</x:v>
      </x:c>
      <x:c r="M7" s="19" t="n">
        <x:v>0</x:v>
      </x:c>
      <x:c r="N7" s="36" t="n">
        <x:v>165</x:v>
      </x:c>
      <x:c r="O7" s="19" t="n">
        <x:f>IF(L7&gt;0,L7,J7*K7+I7)</x:f>
        <x:v>590</x:v>
      </x:c>
      <x:c r="P7" s="19" t="n">
        <x:f>(G7+H7)/2</x:f>
        <x:v>1150</x:v>
      </x:c>
      <x:c r="Q7" s="36" t="n">
        <x:f>F7*N7</x:f>
        <x:v>112200</x:v>
      </x:c>
      <x:c r="R7" s="19" t="str">
        <x:f>IF(F7&gt;H7,"EXCESSO",IF(OR(F7&lt;=I7,F7&lt;G7),"CRÍTICO",IF(F7&lt;=O7,"COMPRAR","NORMAL")))</x:f>
        <x:v>NORMAL</x:v>
      </x:c>
    </x:row>
    <x:row r="8">
      <x:c r="A8" s="19" t="str">
        <x:v>Pavimentação Rodoviária SE-100 - Trecho Demonstrativo</x:v>
      </x:c>
      <x:c r="B8" s="38" t="n">
        <x:v>46278</x:v>
      </x:c>
      <x:c r="C8" s="19" t="str">
        <x:v>CAP 50/70</x:v>
      </x:c>
      <x:c r="D8" s="19" t="str">
        <x:v>Ligante asfáltico</x:v>
      </x:c>
      <x:c r="E8" s="19" t="str">
        <x:v>t</x:v>
      </x:c>
      <x:c r="F8" s="19" t="n">
        <x:v>48</x:v>
      </x:c>
      <x:c r="G8" s="19" t="n">
        <x:v>45</x:v>
      </x:c>
      <x:c r="H8" s="19" t="n">
        <x:v>140</x:v>
      </x:c>
      <x:c r="I8" s="19" t="n">
        <x:v>20</x:v>
      </x:c>
      <x:c r="J8" s="19" t="n">
        <x:v>7</x:v>
      </x:c>
      <x:c r="K8" s="19" t="n">
        <x:v>5</x:v>
      </x:c>
      <x:c r="L8" s="19" t="n">
        <x:v>0</x:v>
      </x:c>
      <x:c r="M8" s="19" t="n">
        <x:v>0</x:v>
      </x:c>
      <x:c r="N8" s="36" t="n">
        <x:v>4680</x:v>
      </x:c>
      <x:c r="O8" s="19" t="n">
        <x:f>IF(L8&gt;0,L8,J8*K8+I8)</x:f>
        <x:v>55</x:v>
      </x:c>
      <x:c r="P8" s="19" t="n">
        <x:f>(G8+H8)/2</x:f>
        <x:v>92.5</x:v>
      </x:c>
      <x:c r="Q8" s="36" t="n">
        <x:f>F8*N8</x:f>
        <x:v>224640</x:v>
      </x:c>
      <x:c r="R8" s="19" t="str">
        <x:f>IF(F8&gt;H8,"EXCESSO",IF(OR(F8&lt;=I8,F8&lt;G8),"CRÍTICO",IF(F8&lt;=O8,"COMPRAR","NORMAL")))</x:f>
        <x:v>COMPRAR</x:v>
      </x:c>
    </x:row>
    <x:row r="9">
      <x:c r="A9" s="19" t="str">
        <x:v>Pavimentação Rodoviária SE-100 - Trecho Demonstrativo</x:v>
      </x:c>
      <x:c r="B9" s="38" t="n">
        <x:v>46278</x:v>
      </x:c>
      <x:c r="C9" s="19" t="str">
        <x:v>Emulsão RR-1C</x:v>
      </x:c>
      <x:c r="D9" s="19" t="str">
        <x:v>Ligante asfáltico</x:v>
      </x:c>
      <x:c r="E9" s="19" t="str">
        <x:v>t</x:v>
      </x:c>
      <x:c r="F9" s="19" t="n">
        <x:v>16</x:v>
      </x:c>
      <x:c r="G9" s="19" t="n">
        <x:v>18</x:v>
      </x:c>
      <x:c r="H9" s="19" t="n">
        <x:v>55</x:v>
      </x:c>
      <x:c r="I9" s="19" t="n">
        <x:v>8</x:v>
      </x:c>
      <x:c r="J9" s="19" t="n">
        <x:v>2.2</x:v>
      </x:c>
      <x:c r="K9" s="19" t="n">
        <x:v>5</x:v>
      </x:c>
      <x:c r="L9" s="19" t="n">
        <x:v>0</x:v>
      </x:c>
      <x:c r="M9" s="19" t="n">
        <x:v>0</x:v>
      </x:c>
      <x:c r="N9" s="36" t="n">
        <x:v>4150</x:v>
      </x:c>
      <x:c r="O9" s="19" t="n">
        <x:f>IF(L9&gt;0,L9,J9*K9+I9)</x:f>
        <x:v>19</x:v>
      </x:c>
      <x:c r="P9" s="19" t="n">
        <x:f>(G9+H9)/2</x:f>
        <x:v>36.5</x:v>
      </x:c>
      <x:c r="Q9" s="36" t="n">
        <x:f>F9*N9</x:f>
        <x:v>66400</x:v>
      </x:c>
      <x:c r="R9" s="19" t="str">
        <x:f>IF(F9&gt;H9,"EXCESSO",IF(OR(F9&lt;=I9,F9&lt;G9),"CRÍTICO",IF(F9&lt;=O9,"COMPRAR","NORMAL")))</x:f>
        <x:v>CRÍTICO</x:v>
      </x:c>
    </x:row>
    <x:row r="10">
      <x:c r="A10" s="19" t="str">
        <x:v>Pavimentação Rodoviária SE-100 - Trecho Demonstrativo</x:v>
      </x:c>
      <x:c r="B10" s="38" t="n">
        <x:v>46278</x:v>
      </x:c>
      <x:c r="C10" s="19" t="str">
        <x:v>Diesel S10</x:v>
      </x:c>
      <x:c r="D10" s="19" t="str">
        <x:v>Combustível</x:v>
      </x:c>
      <x:c r="E10" s="19" t="str">
        <x:v>L</x:v>
      </x:c>
      <x:c r="F10" s="19" t="n">
        <x:v>8500</x:v>
      </x:c>
      <x:c r="G10" s="19" t="n">
        <x:v>6000</x:v>
      </x:c>
      <x:c r="H10" s="19" t="n">
        <x:v>20000</x:v>
      </x:c>
      <x:c r="I10" s="19" t="n">
        <x:v>3000</x:v>
      </x:c>
      <x:c r="J10" s="19" t="n">
        <x:v>1500</x:v>
      </x:c>
      <x:c r="K10" s="19" t="n">
        <x:v>3</x:v>
      </x:c>
      <x:c r="L10" s="19" t="n">
        <x:v>0</x:v>
      </x:c>
      <x:c r="M10" s="19" t="n">
        <x:v>5000</x:v>
      </x:c>
      <x:c r="N10" s="36" t="n">
        <x:v>6.45</x:v>
      </x:c>
      <x:c r="O10" s="19" t="n">
        <x:f>IF(L10&gt;0,L10,J10*K10+I10)</x:f>
        <x:v>7500</x:v>
      </x:c>
      <x:c r="P10" s="19" t="n">
        <x:f>(G10+H10)/2</x:f>
        <x:v>13000</x:v>
      </x:c>
      <x:c r="Q10" s="36" t="n">
        <x:f>F10*N10</x:f>
        <x:v>54825</x:v>
      </x:c>
      <x:c r="R10" s="19" t="str">
        <x:f>IF(F10&gt;H10,"EXCESSO",IF(OR(F10&lt;=I10,F10&lt;G10),"CRÍTICO",IF(F10&lt;=O10,"COMPRAR","NORMAL")))</x:f>
        <x:v>NORMAL</x:v>
      </x:c>
    </x:row>
    <x:row r="11">
      <x:c r="A11" s="19" t="str">
        <x:v>Pavimentação Rodoviária SE-100 - Trecho Demonstrativo</x:v>
      </x:c>
      <x:c r="B11" s="38" t="n">
        <x:v>46278</x:v>
      </x:c>
      <x:c r="C11" s="19" t="str">
        <x:v>Cimento Portland</x:v>
      </x:c>
      <x:c r="D11" s="19" t="str">
        <x:v>Obras de arte</x:v>
      </x:c>
      <x:c r="E11" s="19" t="str">
        <x:v>sc</x:v>
      </x:c>
      <x:c r="F11" s="19" t="n">
        <x:v>520</x:v>
      </x:c>
      <x:c r="G11" s="19" t="n">
        <x:v>250</x:v>
      </x:c>
      <x:c r="H11" s="19" t="n">
        <x:v>700</x:v>
      </x:c>
      <x:c r="I11" s="19" t="n">
        <x:v>120</x:v>
      </x:c>
      <x:c r="J11" s="19" t="n">
        <x:v>35</x:v>
      </x:c>
      <x:c r="K11" s="19" t="n">
        <x:v>5</x:v>
      </x:c>
      <x:c r="L11" s="19" t="n">
        <x:v>0</x:v>
      </x:c>
      <x:c r="M11" s="19" t="n">
        <x:v>0</x:v>
      </x:c>
      <x:c r="N11" s="36" t="n">
        <x:v>39.5</x:v>
      </x:c>
      <x:c r="O11" s="19" t="n">
        <x:f>IF(L11&gt;0,L11,J11*K11+I11)</x:f>
        <x:v>295</x:v>
      </x:c>
      <x:c r="P11" s="19" t="n">
        <x:f>(G11+H11)/2</x:f>
        <x:v>475</x:v>
      </x:c>
      <x:c r="Q11" s="36" t="n">
        <x:f>F11*N11</x:f>
        <x:v>20540</x:v>
      </x:c>
      <x:c r="R11" s="19" t="str">
        <x:f>IF(F11&gt;H11,"EXCESSO",IF(OR(F11&lt;=I11,F11&lt;G11),"CRÍTICO",IF(F11&lt;=O11,"COMPRAR","NORMAL")))</x:f>
        <x:v>NORMAL</x:v>
      </x:c>
    </x:row>
  </x:sheetData>
  <x:conditionalFormatting sqref="R2:R11">
    <x:cfRule type="expression" dxfId="0" priority="1">
      <x:formula>R2="CRÍTICO"</x:formula>
    </x:cfRule>
    <x:cfRule type="expression" dxfId="1" priority="2">
      <x:formula>R2="COMPRAR"</x:formula>
    </x:cfRule>
    <x:cfRule type="expression" dxfId="2" priority="3">
      <x:formula>R2="NORMAL"</x:formula>
    </x:cfRule>
    <x:cfRule type="expression" dxfId="3" priority="4">
      <x:formula>R2="EXCESSO"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5f90d0f2154920"/>
  </x:tableParts>
</x:worksheet>
</file>